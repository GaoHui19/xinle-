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业绩表\"/>
    </mc:Choice>
  </mc:AlternateContent>
  <xr:revisionPtr revIDLastSave="0" documentId="13_ncr:1_{8D6E3A44-DA7E-42F0-B589-FBD90262BD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8" i="1" l="1"/>
  <c r="M148" i="1"/>
  <c r="F148" i="1"/>
  <c r="I135" i="1"/>
  <c r="O135" i="1" s="1"/>
  <c r="M135" i="1"/>
  <c r="F135" i="1"/>
  <c r="I127" i="1"/>
  <c r="M127" i="1"/>
  <c r="F127" i="1"/>
  <c r="M122" i="1"/>
  <c r="I122" i="1"/>
  <c r="F122" i="1"/>
  <c r="I97" i="1"/>
  <c r="M97" i="1"/>
  <c r="F97" i="1"/>
  <c r="I87" i="1"/>
  <c r="M87" i="1"/>
  <c r="F87" i="1"/>
  <c r="I67" i="1"/>
  <c r="F67" i="1"/>
  <c r="M67" i="1"/>
  <c r="F58" i="1"/>
  <c r="M58" i="1"/>
  <c r="I58" i="1"/>
  <c r="F48" i="1"/>
  <c r="M48" i="1"/>
  <c r="I48" i="1"/>
  <c r="I42" i="1"/>
  <c r="M42" i="1"/>
  <c r="F42" i="1"/>
  <c r="I26" i="1"/>
  <c r="M26" i="1"/>
  <c r="I14" i="1"/>
  <c r="M14" i="1"/>
  <c r="O148" i="1" l="1"/>
  <c r="O67" i="1"/>
  <c r="O127" i="1"/>
  <c r="O26" i="1"/>
  <c r="O58" i="1"/>
  <c r="O97" i="1"/>
  <c r="O87" i="1"/>
  <c r="O48" i="1"/>
  <c r="O42" i="1"/>
  <c r="O14" i="1"/>
  <c r="O122" i="1"/>
</calcChain>
</file>

<file path=xl/sharedStrings.xml><?xml version="1.0" encoding="utf-8"?>
<sst xmlns="http://schemas.openxmlformats.org/spreadsheetml/2006/main" count="962" uniqueCount="462">
  <si>
    <t>姓名</t>
  </si>
  <si>
    <t>网名</t>
  </si>
  <si>
    <t>档期</t>
  </si>
  <si>
    <t>电话</t>
  </si>
  <si>
    <t>地址</t>
  </si>
  <si>
    <t>产品</t>
  </si>
  <si>
    <t>定金</t>
  </si>
  <si>
    <t>尾款</t>
  </si>
  <si>
    <t>总金额</t>
  </si>
  <si>
    <t>成单日期</t>
  </si>
  <si>
    <t>单号</t>
  </si>
  <si>
    <t>刘淑华</t>
    <phoneticPr fontId="3" type="noConversion"/>
  </si>
  <si>
    <t>SF3175162011064</t>
    <phoneticPr fontId="3" type="noConversion"/>
  </si>
  <si>
    <t>河北省沧州市青县石油第一机械厂东区13号楼1单元202（二楼西门）</t>
  </si>
  <si>
    <t>紫鑫名方*10</t>
    <phoneticPr fontId="3" type="noConversion"/>
  </si>
  <si>
    <t>刘淑华</t>
  </si>
  <si>
    <t>河北省沧州市青县石油第一机械厂东区13号楼1单元202（二楼西门）</t>
    <phoneticPr fontId="3" type="noConversion"/>
  </si>
  <si>
    <t>紫鑫名方*1电疗仪*1</t>
    <phoneticPr fontId="3" type="noConversion"/>
  </si>
  <si>
    <t>SF3174458665666</t>
    <phoneticPr fontId="3" type="noConversion"/>
  </si>
  <si>
    <t>唐程乡</t>
    <phoneticPr fontId="3" type="noConversion"/>
  </si>
  <si>
    <t>安徽省 宿州市 砀山县 唐寨镇</t>
  </si>
  <si>
    <t>李丽</t>
    <phoneticPr fontId="3" type="noConversion"/>
  </si>
  <si>
    <t>河北省唐山市路北区曙光楼109栋</t>
  </si>
  <si>
    <t>陈书凤</t>
    <phoneticPr fontId="3" type="noConversion"/>
  </si>
  <si>
    <t>北京市平谷区大兴庄镇三福庄村大街38号</t>
  </si>
  <si>
    <t>紫鑫名方*20</t>
    <phoneticPr fontId="3" type="noConversion"/>
  </si>
  <si>
    <t>SF3184525525951</t>
    <phoneticPr fontId="3" type="noConversion"/>
  </si>
  <si>
    <t>刘政委</t>
    <phoneticPr fontId="3" type="noConversion"/>
  </si>
  <si>
    <t>君子兰</t>
    <phoneticPr fontId="3" type="noConversion"/>
  </si>
  <si>
    <t>唐爷爷</t>
    <phoneticPr fontId="3" type="noConversion"/>
  </si>
  <si>
    <t>SF3184329213973</t>
    <phoneticPr fontId="3" type="noConversion"/>
  </si>
  <si>
    <t>紫鑫名方*5绞股蓝茶5</t>
    <phoneticPr fontId="3" type="noConversion"/>
  </si>
  <si>
    <t>SF3177881704171</t>
    <phoneticPr fontId="3" type="noConversion"/>
  </si>
  <si>
    <t>李荣昌</t>
    <phoneticPr fontId="3" type="noConversion"/>
  </si>
  <si>
    <t>同仙</t>
    <phoneticPr fontId="3" type="noConversion"/>
  </si>
  <si>
    <t>广东省广州市增城区永宁街合景誉山国际三区10栋301</t>
    <phoneticPr fontId="3" type="noConversion"/>
  </si>
  <si>
    <t>紫鑫名方*1</t>
    <phoneticPr fontId="3" type="noConversion"/>
  </si>
  <si>
    <t>SF3177888704177</t>
    <phoneticPr fontId="3" type="noConversion"/>
  </si>
  <si>
    <t>紫鑫名方*3</t>
    <phoneticPr fontId="3" type="noConversion"/>
  </si>
  <si>
    <t>魏庆和</t>
    <phoneticPr fontId="3" type="noConversion"/>
  </si>
  <si>
    <t>魏老大</t>
    <phoneticPr fontId="3" type="noConversion"/>
  </si>
  <si>
    <t xml:space="preserve">乌鲁木齐市鲤鱼山路新疆医科大一附院9号楼1605号房 </t>
    <phoneticPr fontId="3" type="noConversion"/>
  </si>
  <si>
    <t>紫鑫名方补肾安神口服液*15＋3＋生物电治疗仪*2</t>
    <phoneticPr fontId="3" type="noConversion"/>
  </si>
  <si>
    <t>SF3186383641651</t>
    <phoneticPr fontId="3" type="noConversion"/>
  </si>
  <si>
    <t xml:space="preserve">紫鑫名方*3盒 JX降压仪1 </t>
    <phoneticPr fontId="3" type="noConversion"/>
  </si>
  <si>
    <t>总价：</t>
    <phoneticPr fontId="3" type="noConversion"/>
  </si>
  <si>
    <t>SF3188464396417</t>
    <phoneticPr fontId="3" type="noConversion"/>
  </si>
  <si>
    <t>禹建东</t>
    <phoneticPr fontId="3" type="noConversion"/>
  </si>
  <si>
    <t>蓝色海豚</t>
    <phoneticPr fontId="3" type="noConversion"/>
  </si>
  <si>
    <t>山东省青岛市 胶州市三里河街道空港澜庭美地A区</t>
    <phoneticPr fontId="3" type="noConversion"/>
  </si>
  <si>
    <t>SF3188998160792</t>
    <phoneticPr fontId="3" type="noConversion"/>
  </si>
  <si>
    <t>王兰</t>
    <phoneticPr fontId="3" type="noConversion"/>
  </si>
  <si>
    <t>山茶树</t>
    <phoneticPr fontId="3" type="noConversion"/>
  </si>
  <si>
    <t>陕西省汉中市汉台区祥瑞花园7号楼三单元306</t>
    <phoneticPr fontId="3" type="noConversion"/>
  </si>
  <si>
    <t>签收状态</t>
    <phoneticPr fontId="3" type="noConversion"/>
  </si>
  <si>
    <t>初购</t>
    <phoneticPr fontId="3" type="noConversion"/>
  </si>
  <si>
    <t>补赠</t>
    <phoneticPr fontId="3" type="noConversion"/>
  </si>
  <si>
    <t>初/复</t>
    <phoneticPr fontId="3" type="noConversion"/>
  </si>
  <si>
    <t>已签收</t>
    <phoneticPr fontId="3" type="noConversion"/>
  </si>
  <si>
    <t>复购</t>
    <phoneticPr fontId="3" type="noConversion"/>
  </si>
  <si>
    <t>拒签</t>
    <phoneticPr fontId="3" type="noConversion"/>
  </si>
  <si>
    <t>未发货</t>
    <phoneticPr fontId="3" type="noConversion"/>
  </si>
  <si>
    <t>未订购</t>
    <phoneticPr fontId="3" type="noConversion"/>
  </si>
  <si>
    <t>未收单价</t>
    <phoneticPr fontId="3" type="noConversion"/>
  </si>
  <si>
    <t>未签金额：</t>
    <phoneticPr fontId="3" type="noConversion"/>
  </si>
  <si>
    <t>业绩：</t>
    <phoneticPr fontId="3" type="noConversion"/>
  </si>
  <si>
    <t>SF3177927241051</t>
    <phoneticPr fontId="3" type="noConversion"/>
  </si>
  <si>
    <t>8盒紫鑫名方+生物电治疗仪2</t>
  </si>
  <si>
    <t>SF3170953326354</t>
    <phoneticPr fontId="3" type="noConversion"/>
  </si>
  <si>
    <t>陈卓仲</t>
  </si>
  <si>
    <t>133 6508 9262</t>
  </si>
  <si>
    <t>希望之虹（仲）</t>
    <phoneticPr fontId="3" type="noConversion"/>
  </si>
  <si>
    <t>SF3172259407129</t>
    <phoneticPr fontId="3" type="noConversion"/>
  </si>
  <si>
    <t>11盒紫鑫名方+1生物电</t>
    <phoneticPr fontId="3" type="noConversion"/>
  </si>
  <si>
    <t>SF3185540387752</t>
    <phoneticPr fontId="3" type="noConversion"/>
  </si>
  <si>
    <t>张成林</t>
  </si>
  <si>
    <t>紫鑫名方补肾安神口服液*2</t>
  </si>
  <si>
    <t>SF3173471148085</t>
    <phoneticPr fontId="3" type="noConversion"/>
  </si>
  <si>
    <t>紫鑫名方*16JX降压仪2</t>
    <phoneticPr fontId="3" type="noConversion"/>
  </si>
  <si>
    <t>紫鑫明方15盒+全株20</t>
    <phoneticPr fontId="3" type="noConversion"/>
  </si>
  <si>
    <t>SF3187248866712</t>
    <phoneticPr fontId="3" type="noConversion"/>
  </si>
  <si>
    <t>SF3187616551825</t>
    <phoneticPr fontId="3" type="noConversion"/>
  </si>
  <si>
    <t>紫鑫名方*5 绞股蓝茶*10</t>
    <phoneticPr fontId="3" type="noConversion"/>
  </si>
  <si>
    <t>SF3197077157471</t>
    <phoneticPr fontId="3" type="noConversion"/>
  </si>
  <si>
    <t>王凤珍</t>
    <phoneticPr fontId="3" type="noConversion"/>
  </si>
  <si>
    <t>山泉</t>
    <phoneticPr fontId="3" type="noConversion"/>
  </si>
  <si>
    <t>辽宁省本溪市平山区乾易二期8号楼2单元1703室</t>
    <phoneticPr fontId="3" type="noConversion"/>
  </si>
  <si>
    <t>备注</t>
    <phoneticPr fontId="3" type="noConversion"/>
  </si>
  <si>
    <t>芳芳</t>
    <phoneticPr fontId="3" type="noConversion"/>
  </si>
  <si>
    <t>黄桂芳</t>
    <phoneticPr fontId="3" type="noConversion"/>
  </si>
  <si>
    <t>5盒+5盒绞股蓝</t>
    <phoneticPr fontId="3" type="noConversion"/>
  </si>
  <si>
    <t>广州市荔湾区芳村悦彩街4号一1302</t>
    <phoneticPr fontId="3" type="noConversion"/>
  </si>
  <si>
    <t>SF3197560788973</t>
    <phoneticPr fontId="3" type="noConversion"/>
  </si>
  <si>
    <t>SF3199735681310</t>
    <phoneticPr fontId="3" type="noConversion"/>
  </si>
  <si>
    <t>陈卓仲</t>
    <phoneticPr fontId="3" type="noConversion"/>
  </si>
  <si>
    <t>133 6508 9262</t>
    <phoneticPr fontId="3" type="noConversion"/>
  </si>
  <si>
    <t xml:space="preserve">海南省 海口市  美兰区 海府海南皇马假日大酒店(海府路南)美兰区海府路 </t>
    <phoneticPr fontId="3" type="noConversion"/>
  </si>
  <si>
    <t>福建省龙岩漳平市桂林街道赤仓路龙御山庄18一1</t>
    <phoneticPr fontId="3" type="noConversion"/>
  </si>
  <si>
    <t>紫鑫名方*7JX降压仪*1</t>
    <phoneticPr fontId="3" type="noConversion"/>
  </si>
  <si>
    <t>补送三盒已签收：SF3199735684085</t>
    <phoneticPr fontId="3" type="noConversion"/>
  </si>
  <si>
    <t>紫鑫名方15+全株三七30</t>
  </si>
  <si>
    <t>SF3190164281625</t>
  </si>
  <si>
    <t>陈琼</t>
    <phoneticPr fontId="3" type="noConversion"/>
  </si>
  <si>
    <t>河北省保定市容城县八于乡崇文北路裕民园4号楼3单元202室</t>
  </si>
  <si>
    <t>杜鑫</t>
    <phoneticPr fontId="3" type="noConversion"/>
  </si>
  <si>
    <t>紫鑫名方补肾安神口服液*5+1生物电</t>
    <phoneticPr fontId="3" type="noConversion"/>
  </si>
  <si>
    <t>山东省济宁市汶上县明星西区</t>
  </si>
  <si>
    <t>SF3194403145196</t>
  </si>
  <si>
    <t>SF3194403145627</t>
  </si>
  <si>
    <t>3紫鑫 5鹿血晶</t>
  </si>
  <si>
    <t>SF3194355826179</t>
  </si>
  <si>
    <t>SF3199812842579</t>
  </si>
  <si>
    <t>签收</t>
    <phoneticPr fontId="3" type="noConversion"/>
  </si>
  <si>
    <t>王俊</t>
    <phoneticPr fontId="3" type="noConversion"/>
  </si>
  <si>
    <t>开拓者</t>
    <phoneticPr fontId="3" type="noConversion"/>
  </si>
  <si>
    <t>安徽省芜湖市无为市无城镇花疃社区</t>
    <phoneticPr fontId="3" type="noConversion"/>
  </si>
  <si>
    <t>紫鑫名方补肾安神口服液*20</t>
    <phoneticPr fontId="3" type="noConversion"/>
  </si>
  <si>
    <t>李美英</t>
    <phoneticPr fontId="3" type="noConversion"/>
  </si>
  <si>
    <t>垂暮</t>
    <phoneticPr fontId="3" type="noConversion"/>
  </si>
  <si>
    <t>山西省 吕梁市汾阳市 杏花村汾酒厂杏花园9号楼1单元201</t>
    <phoneticPr fontId="3" type="noConversion"/>
  </si>
  <si>
    <t>紫鑫名方补肾安神口服液*5</t>
  </si>
  <si>
    <t>SF3192345480556</t>
    <phoneticPr fontId="3" type="noConversion"/>
  </si>
  <si>
    <t>杨红梅</t>
    <phoneticPr fontId="3" type="noConversion"/>
  </si>
  <si>
    <t>云南省红河州弥勒市新哨镇西梭白新村B一72号</t>
    <phoneticPr fontId="3" type="noConversion"/>
  </si>
  <si>
    <t>尹传忠</t>
  </si>
  <si>
    <t>尹传忠</t>
    <phoneticPr fontId="3" type="noConversion"/>
  </si>
  <si>
    <t>山东省临沂市兰山区金雀山路77号市机械局家属院</t>
  </si>
  <si>
    <t>紫鑫名方补肾安神口服液*10</t>
    <phoneticPr fontId="3" type="noConversion"/>
  </si>
  <si>
    <t>SF3198994861713</t>
    <phoneticPr fontId="3" type="noConversion"/>
  </si>
  <si>
    <t>SF3198867919863</t>
    <phoneticPr fontId="3" type="noConversion"/>
  </si>
  <si>
    <t>明天更美好</t>
    <phoneticPr fontId="3" type="noConversion"/>
  </si>
  <si>
    <t>SF3198867919175</t>
    <phoneticPr fontId="3" type="noConversion"/>
  </si>
  <si>
    <t>紫鑫名方*5</t>
    <phoneticPr fontId="3" type="noConversion"/>
  </si>
  <si>
    <t>SF3191071846450</t>
    <phoneticPr fontId="3" type="noConversion"/>
  </si>
  <si>
    <t xml:space="preserve">151 2636 3467 </t>
    <phoneticPr fontId="3" type="noConversion"/>
  </si>
  <si>
    <t>SF3193226011424</t>
    <phoneticPr fontId="3" type="noConversion"/>
  </si>
  <si>
    <t>改价格11000改为10000</t>
    <phoneticPr fontId="3" type="noConversion"/>
  </si>
  <si>
    <t>张文芬</t>
    <phoneticPr fontId="3" type="noConversion"/>
  </si>
  <si>
    <t>zwf张文芬</t>
    <phoneticPr fontId="3" type="noConversion"/>
  </si>
  <si>
    <t>贵卅省六盘水市钟山区建设西路市人民医院宿舍</t>
  </si>
  <si>
    <t>紫鑫名方*2</t>
    <phoneticPr fontId="3" type="noConversion"/>
  </si>
  <si>
    <t>总定金</t>
    <phoneticPr fontId="3" type="noConversion"/>
  </si>
  <si>
    <t>李美英</t>
  </si>
  <si>
    <t>SF3195902444271</t>
    <phoneticPr fontId="3" type="noConversion"/>
  </si>
  <si>
    <t>SF3235652254508</t>
    <phoneticPr fontId="3" type="noConversion"/>
  </si>
  <si>
    <t>SF3195560052675</t>
  </si>
  <si>
    <t>刘都喜人生有尺</t>
  </si>
  <si>
    <t>刘都喜</t>
    <phoneticPr fontId="3" type="noConversion"/>
  </si>
  <si>
    <t>陕西省渭南市韩城市西庄镇盘龙 新村1号楼1单元1202</t>
    <phoneticPr fontId="3" type="noConversion"/>
  </si>
  <si>
    <t>紫鑫名方补肾安神口服液*2</t>
    <phoneticPr fontId="3" type="noConversion"/>
  </si>
  <si>
    <t>SF3236320237408</t>
    <phoneticPr fontId="3" type="noConversion"/>
  </si>
  <si>
    <t>拒收</t>
    <phoneticPr fontId="3" type="noConversion"/>
  </si>
  <si>
    <t>紫鑫名方补肾安神口服液*5</t>
    <phoneticPr fontId="3" type="noConversion"/>
  </si>
  <si>
    <t>紫鑫名方*6鹿血晶*1</t>
    <phoneticPr fontId="3" type="noConversion"/>
  </si>
  <si>
    <t>滞留退回</t>
    <phoneticPr fontId="3" type="noConversion"/>
  </si>
  <si>
    <t>客户没钱</t>
    <phoneticPr fontId="3" type="noConversion"/>
  </si>
  <si>
    <t>SF3233453901326</t>
  </si>
  <si>
    <t>张翠云</t>
    <phoneticPr fontId="3" type="noConversion"/>
  </si>
  <si>
    <t xml:space="preserve">平安禧樂 </t>
    <phoneticPr fontId="3" type="noConversion"/>
  </si>
  <si>
    <t>山东省 泰安市肥城市石横镇特钢厂</t>
    <phoneticPr fontId="3" type="noConversion"/>
  </si>
  <si>
    <t>紫鑫名方补肾安神口服液*10+11鹿血精</t>
  </si>
  <si>
    <t>SF3230404579411</t>
    <phoneticPr fontId="3" type="noConversion"/>
  </si>
  <si>
    <t>10盒紫鑫 20盒鹿血晶</t>
    <phoneticPr fontId="3" type="noConversion"/>
  </si>
  <si>
    <t>王</t>
    <phoneticPr fontId="3" type="noConversion"/>
  </si>
  <si>
    <t>邓</t>
    <phoneticPr fontId="3" type="noConversion"/>
  </si>
  <si>
    <t>江</t>
    <phoneticPr fontId="3" type="noConversion"/>
  </si>
  <si>
    <t>姚</t>
    <phoneticPr fontId="3" type="noConversion"/>
  </si>
  <si>
    <t>SF3284671286579</t>
  </si>
  <si>
    <t>5紫鑫名方+3独参方</t>
    <phoneticPr fontId="3" type="noConversion"/>
  </si>
  <si>
    <t>SF3237972411104</t>
    <phoneticPr fontId="3" type="noConversion"/>
  </si>
  <si>
    <t>13盒紫鑫 2盒三七 2盒苏合香</t>
    <phoneticPr fontId="3" type="noConversion"/>
  </si>
  <si>
    <t>SF3232251109876</t>
    <phoneticPr fontId="3" type="noConversion"/>
  </si>
  <si>
    <t>彭永红</t>
    <phoneticPr fontId="3" type="noConversion"/>
  </si>
  <si>
    <t>永红</t>
    <phoneticPr fontId="3" type="noConversion"/>
  </si>
  <si>
    <t>上海市闵行区龙柏二村41号302室</t>
    <phoneticPr fontId="3" type="noConversion"/>
  </si>
  <si>
    <t>长春益寿膏*2</t>
    <phoneticPr fontId="3" type="noConversion"/>
  </si>
  <si>
    <t>黄生成</t>
    <phoneticPr fontId="3" type="noConversion"/>
  </si>
  <si>
    <t>湖南省隆回县三阁司镇三阁司村</t>
    <phoneticPr fontId="3" type="noConversion"/>
  </si>
  <si>
    <t>长春益寿膏*5</t>
    <phoneticPr fontId="3" type="noConversion"/>
  </si>
  <si>
    <t>SF3282315949215</t>
    <phoneticPr fontId="3" type="noConversion"/>
  </si>
  <si>
    <t>SF3288747674108</t>
    <phoneticPr fontId="3" type="noConversion"/>
  </si>
  <si>
    <t>周洪志</t>
    <phoneticPr fontId="3" type="noConversion"/>
  </si>
  <si>
    <t>ping</t>
    <phoneticPr fontId="3" type="noConversion"/>
  </si>
  <si>
    <t>内蒙古包头市昆都仑区青年路与民族西路交叉口北50米瑞德商务酒店</t>
  </si>
  <si>
    <t>长春益寿膏*1</t>
    <phoneticPr fontId="3" type="noConversion"/>
  </si>
  <si>
    <t>黄金梅</t>
    <phoneticPr fontId="3" type="noConversion"/>
  </si>
  <si>
    <t>小梅</t>
    <phoneticPr fontId="3" type="noConversion"/>
  </si>
  <si>
    <t>江苏省常州市永宁北.路阳光龙庭29憧2101室</t>
    <phoneticPr fontId="3" type="noConversion"/>
  </si>
  <si>
    <t>长春益寿膏*10</t>
    <phoneticPr fontId="3" type="noConversion"/>
  </si>
  <si>
    <t>张成林</t>
    <phoneticPr fontId="3" type="noConversion"/>
  </si>
  <si>
    <t>SF3297746824761</t>
    <phoneticPr fontId="3" type="noConversion"/>
  </si>
  <si>
    <t>紫鑫名方*20+6 一盒独参方</t>
    <phoneticPr fontId="3" type="noConversion"/>
  </si>
  <si>
    <t>SF3297077671973</t>
    <phoneticPr fontId="3" type="noConversion"/>
  </si>
  <si>
    <t>问了医生不让吃</t>
    <phoneticPr fontId="3" type="noConversion"/>
  </si>
  <si>
    <t>SF3281226533357</t>
    <phoneticPr fontId="3" type="noConversion"/>
  </si>
  <si>
    <t>改价格：2990——2200 姚</t>
    <phoneticPr fontId="3" type="noConversion"/>
  </si>
  <si>
    <t>SF3299919837436</t>
    <phoneticPr fontId="3" type="noConversion"/>
  </si>
  <si>
    <t>长春益寿膏*15</t>
    <phoneticPr fontId="3" type="noConversion"/>
  </si>
  <si>
    <t>龙血树叶80盒</t>
    <phoneticPr fontId="3" type="noConversion"/>
  </si>
  <si>
    <t>SF3299594854023</t>
    <phoneticPr fontId="3" type="noConversion"/>
  </si>
  <si>
    <t>宋礽泰</t>
  </si>
  <si>
    <t>宋礽泰</t>
    <phoneticPr fontId="3" type="noConversion"/>
  </si>
  <si>
    <t>长春益寿膏*1</t>
  </si>
  <si>
    <t>浙江省杭州市临安区西游村庙台12号17座</t>
    <phoneticPr fontId="3" type="noConversion"/>
  </si>
  <si>
    <t>SF3275143914055</t>
    <phoneticPr fontId="3" type="noConversion"/>
  </si>
  <si>
    <t>于</t>
    <phoneticPr fontId="3" type="noConversion"/>
  </si>
  <si>
    <t>刘映堂</t>
    <phoneticPr fontId="3" type="noConversion"/>
  </si>
  <si>
    <t>老来红</t>
    <phoneticPr fontId="3" type="noConversion"/>
  </si>
  <si>
    <t>SF3290499960534</t>
    <phoneticPr fontId="3" type="noConversion"/>
  </si>
  <si>
    <t>湖南邵阳洞口县图书馆</t>
    <phoneticPr fontId="3" type="noConversion"/>
  </si>
  <si>
    <t>SF3296619013553</t>
  </si>
  <si>
    <t>黑龙江省尔滨市依兰县御景兰亭十二号楼服装店</t>
    <phoneticPr fontId="3" type="noConversion"/>
  </si>
  <si>
    <t>小猪</t>
    <phoneticPr fontId="3" type="noConversion"/>
  </si>
  <si>
    <t>王阿姨</t>
    <phoneticPr fontId="3" type="noConversion"/>
  </si>
  <si>
    <t>孙长信</t>
    <phoneticPr fontId="3" type="noConversion"/>
  </si>
  <si>
    <t xml:space="preserve">长春生命肽*4 </t>
    <phoneticPr fontId="3" type="noConversion"/>
  </si>
  <si>
    <t>黑龙江省哈尔滨市道里区工程街道上游街70号1单元501室</t>
  </si>
  <si>
    <t>盼望  小康</t>
    <phoneticPr fontId="3" type="noConversion"/>
  </si>
  <si>
    <t>王文芳</t>
    <phoneticPr fontId="3" type="noConversion"/>
  </si>
  <si>
    <t>王文芳 小康</t>
    <phoneticPr fontId="3" type="noConversion"/>
  </si>
  <si>
    <t>长春益寿膏*4</t>
    <phoneticPr fontId="3" type="noConversion"/>
  </si>
  <si>
    <t>SF3271157633622</t>
    <phoneticPr fontId="3" type="noConversion"/>
  </si>
  <si>
    <t>SF3296580303459</t>
  </si>
  <si>
    <t>河北省沧州市泊头市泊头站南侧铁路小区</t>
    <phoneticPr fontId="3" type="noConversion"/>
  </si>
  <si>
    <t>郑日龙</t>
    <phoneticPr fontId="3" type="noConversion"/>
  </si>
  <si>
    <t>浙江省衢州市江山市虎山街道双龙村</t>
    <phoneticPr fontId="3" type="noConversion"/>
  </si>
  <si>
    <t>益寿强身膏*3</t>
    <phoneticPr fontId="3" type="noConversion"/>
  </si>
  <si>
    <t>初</t>
    <phoneticPr fontId="3" type="noConversion"/>
  </si>
  <si>
    <t>江山多娇</t>
  </si>
  <si>
    <t>鲁庆吾</t>
    <phoneticPr fontId="3" type="noConversion"/>
  </si>
  <si>
    <t>安徽省合肥市包河区烟墩街道都会花园11栋2单元 2204</t>
    <phoneticPr fontId="3" type="noConversion"/>
  </si>
  <si>
    <t>益寿强身膏*10</t>
  </si>
  <si>
    <t>徐宝雅</t>
    <phoneticPr fontId="3" type="noConversion"/>
  </si>
  <si>
    <t>复</t>
    <phoneticPr fontId="3" type="noConversion"/>
  </si>
  <si>
    <t>浙江省江山市双塔街道市后淤102幢201</t>
  </si>
  <si>
    <t>益寿强身膏*5</t>
    <phoneticPr fontId="3" type="noConversion"/>
  </si>
  <si>
    <t>李</t>
    <phoneticPr fontId="3" type="noConversion"/>
  </si>
  <si>
    <t>吴胡闹</t>
  </si>
  <si>
    <t>郑</t>
    <phoneticPr fontId="3" type="noConversion"/>
  </si>
  <si>
    <t>河南省驻马店市上蔡县蔡都大道中段148号接种中心武装部对面</t>
  </si>
  <si>
    <t>长春益寿膏*30  鹿角帽*3</t>
  </si>
  <si>
    <t>长春益寿膏*5鹿角帽*1</t>
    <phoneticPr fontId="3" type="noConversion"/>
  </si>
  <si>
    <t>SF3279358316865</t>
    <phoneticPr fontId="3" type="noConversion"/>
  </si>
  <si>
    <t>SF3279358316459</t>
  </si>
  <si>
    <t>SF3298512667293</t>
  </si>
  <si>
    <t>SF3279359623401</t>
  </si>
  <si>
    <t>SF3279359621606</t>
    <phoneticPr fontId="3" type="noConversion"/>
  </si>
  <si>
    <t>不退 报警</t>
    <phoneticPr fontId="3" type="noConversion"/>
  </si>
  <si>
    <t>龙血树叶粉*60</t>
    <phoneticPr fontId="3" type="noConversion"/>
  </si>
  <si>
    <t>紫鑫名方*2 独参方*2</t>
  </si>
  <si>
    <t>郭惠舫</t>
  </si>
  <si>
    <t>郭惠舫</t>
    <phoneticPr fontId="3" type="noConversion"/>
  </si>
  <si>
    <t>北京昌平区沙河镇西城角35号院1号楼2单元502室</t>
    <phoneticPr fontId="3" type="noConversion"/>
  </si>
  <si>
    <t>A李</t>
    <phoneticPr fontId="3" type="noConversion"/>
  </si>
  <si>
    <t>SF3291431443052</t>
    <phoneticPr fontId="3" type="noConversion"/>
  </si>
  <si>
    <t>SF3277545036536</t>
    <phoneticPr fontId="3" type="noConversion"/>
  </si>
  <si>
    <t>杜良权</t>
    <phoneticPr fontId="3" type="noConversion"/>
  </si>
  <si>
    <t>家和万事兴</t>
  </si>
  <si>
    <t>湖南省娄底市新化县炉观镇石新村</t>
  </si>
  <si>
    <t>我爱雪花</t>
    <phoneticPr fontId="3" type="noConversion"/>
  </si>
  <si>
    <t>董胜利</t>
    <phoneticPr fontId="3" type="noConversion"/>
  </si>
  <si>
    <t>河北省唐山市玉田县郭家屯多麦坡村</t>
    <phoneticPr fontId="3" type="noConversion"/>
  </si>
  <si>
    <t>益寿强身膏*1</t>
    <phoneticPr fontId="3" type="noConversion"/>
  </si>
  <si>
    <t>益寿强身膏*2</t>
    <phoneticPr fontId="3" type="noConversion"/>
  </si>
  <si>
    <t>恒春</t>
    <phoneticPr fontId="3" type="noConversion"/>
  </si>
  <si>
    <t>李春</t>
    <phoneticPr fontId="3" type="noConversion"/>
  </si>
  <si>
    <t>上海市闵行区 运了路288弄42号</t>
    <phoneticPr fontId="3" type="noConversion"/>
  </si>
  <si>
    <t>益寿强身青*2</t>
    <phoneticPr fontId="3" type="noConversion"/>
  </si>
  <si>
    <t>岁岁平安</t>
    <phoneticPr fontId="3" type="noConversion"/>
  </si>
  <si>
    <t>广西自治区梧州市长洲区新兴二路盛业大厦11楼3号房11</t>
    <phoneticPr fontId="3" type="noConversion"/>
  </si>
  <si>
    <t>益寿钱身膏*10</t>
    <phoneticPr fontId="3" type="noConversion"/>
  </si>
  <si>
    <t>SF3291332471734</t>
    <phoneticPr fontId="3" type="noConversion"/>
  </si>
  <si>
    <t>李建榕</t>
    <phoneticPr fontId="3" type="noConversion"/>
  </si>
  <si>
    <t>SF3277905685827</t>
    <phoneticPr fontId="3" type="noConversion"/>
  </si>
  <si>
    <t>SF3277905686382</t>
    <phoneticPr fontId="3" type="noConversion"/>
  </si>
  <si>
    <t>SF3293952051132</t>
    <phoneticPr fontId="3" type="noConversion"/>
  </si>
  <si>
    <t>许伟斌</t>
  </si>
  <si>
    <t>许伟斌</t>
    <phoneticPr fontId="3" type="noConversion"/>
  </si>
  <si>
    <t>湖南省怀化市洪江市安江镇新安江花园B区2栋二单元203室</t>
  </si>
  <si>
    <t>6盒羚羊至精丹十1盒鸸鹋油</t>
    <phoneticPr fontId="3" type="noConversion"/>
  </si>
  <si>
    <t>郑宗文</t>
  </si>
  <si>
    <t>15盒长春益寿膏十6盒羊胎盘</t>
  </si>
  <si>
    <t>宋宝玉</t>
    <phoneticPr fontId="3" type="noConversion"/>
  </si>
  <si>
    <t>猛虎</t>
    <phoneticPr fontId="3" type="noConversion"/>
  </si>
  <si>
    <t>山东省烟台市招远市丽水苑小区27号楼二单元1002</t>
    <phoneticPr fontId="3" type="noConversion"/>
  </si>
  <si>
    <t>益寿强身膏*100</t>
    <phoneticPr fontId="3" type="noConversion"/>
  </si>
  <si>
    <t>程吉长</t>
    <phoneticPr fontId="3" type="noConversion"/>
  </si>
  <si>
    <t>益寿强身膏*3</t>
  </si>
  <si>
    <t>广西南宁市青秀区剪刀村</t>
    <phoneticPr fontId="3" type="noConversion"/>
  </si>
  <si>
    <t>张桂英</t>
  </si>
  <si>
    <t>张桂英</t>
    <phoneticPr fontId="3" type="noConversion"/>
  </si>
  <si>
    <t>河北省邯郸市先锋路先锋苑</t>
    <phoneticPr fontId="3" type="noConversion"/>
  </si>
  <si>
    <t>SF3263604744334</t>
    <phoneticPr fontId="3" type="noConversion"/>
  </si>
  <si>
    <t>SF3272224516979</t>
    <phoneticPr fontId="3" type="noConversion"/>
  </si>
  <si>
    <t>SF3272224516290</t>
    <phoneticPr fontId="3" type="noConversion"/>
  </si>
  <si>
    <t>SF3295015957114  SF3263661081985</t>
    <phoneticPr fontId="3" type="noConversion"/>
  </si>
  <si>
    <t>孩子介入</t>
    <phoneticPr fontId="3" type="noConversion"/>
  </si>
  <si>
    <t>益寿强身膏*13</t>
    <phoneticPr fontId="3" type="noConversion"/>
  </si>
  <si>
    <t>杨城</t>
    <phoneticPr fontId="3" type="noConversion"/>
  </si>
  <si>
    <t>妙善</t>
    <phoneticPr fontId="3" type="noConversion"/>
  </si>
  <si>
    <t xml:space="preserve"> 四川省 绵阳市 涪城区 虹色景园 23栋2楼1号</t>
    <phoneticPr fontId="3" type="noConversion"/>
  </si>
  <si>
    <t>SF3295364103568</t>
    <phoneticPr fontId="3" type="noConversion"/>
  </si>
  <si>
    <t>刘</t>
    <phoneticPr fontId="3" type="noConversion"/>
  </si>
  <si>
    <t>杨</t>
    <phoneticPr fontId="3" type="noConversion"/>
  </si>
  <si>
    <t>江</t>
  </si>
  <si>
    <t>郑宗文</t>
    <phoneticPr fontId="3" type="noConversion"/>
  </si>
  <si>
    <t>洪丽芬</t>
    <phoneticPr fontId="3" type="noConversion"/>
  </si>
  <si>
    <t>家有 四千金</t>
    <phoneticPr fontId="3" type="noConversion"/>
  </si>
  <si>
    <t xml:space="preserve">厦门市思明区官都里1 3号之二305室 </t>
    <phoneticPr fontId="3" type="noConversion"/>
  </si>
  <si>
    <t>益寿强身膏*4</t>
    <phoneticPr fontId="3" type="noConversion"/>
  </si>
  <si>
    <t>SF3274034280573</t>
  </si>
  <si>
    <t>SF3278234215281</t>
    <phoneticPr fontId="3" type="noConversion"/>
  </si>
  <si>
    <t>SF3278995483406</t>
    <phoneticPr fontId="3" type="noConversion"/>
  </si>
  <si>
    <t>SF3278236711807</t>
    <phoneticPr fontId="3" type="noConversion"/>
  </si>
  <si>
    <t>转到12月份了</t>
    <phoneticPr fontId="3" type="noConversion"/>
  </si>
  <si>
    <t>于指导</t>
    <phoneticPr fontId="3" type="noConversion"/>
  </si>
  <si>
    <t>李艳平</t>
    <phoneticPr fontId="3" type="noConversion"/>
  </si>
  <si>
    <t>河北省武安市午汲镇南马庄村</t>
    <phoneticPr fontId="3" type="noConversion"/>
  </si>
  <si>
    <t>王明琼</t>
    <phoneticPr fontId="3" type="noConversion"/>
  </si>
  <si>
    <t>幸福人生 李阿姨</t>
    <phoneticPr fontId="3" type="noConversion"/>
  </si>
  <si>
    <t>青松</t>
    <phoneticPr fontId="3" type="noConversion"/>
  </si>
  <si>
    <t>益寿强身膏*10</t>
    <phoneticPr fontId="3" type="noConversion"/>
  </si>
  <si>
    <t>SF3261493671924</t>
    <phoneticPr fontId="3" type="noConversion"/>
  </si>
  <si>
    <t>SF3266919438958</t>
  </si>
  <si>
    <t>四川省达州市通川区朝阳西路471号</t>
    <phoneticPr fontId="3" type="noConversion"/>
  </si>
  <si>
    <t>刘指导</t>
    <phoneticPr fontId="3" type="noConversion"/>
  </si>
  <si>
    <t>邓升平</t>
    <phoneticPr fontId="3" type="noConversion"/>
  </si>
  <si>
    <t>老邓</t>
    <phoneticPr fontId="3" type="noConversion"/>
  </si>
  <si>
    <t>广东省广州市荔湾区西华路532号后座303</t>
    <phoneticPr fontId="3" type="noConversion"/>
  </si>
  <si>
    <t>益寿强身膏*20</t>
    <phoneticPr fontId="3" type="noConversion"/>
  </si>
  <si>
    <t>SF5105447694310</t>
  </si>
  <si>
    <t>SF3268925943338</t>
    <phoneticPr fontId="3" type="noConversion"/>
  </si>
  <si>
    <t>苏合香*60</t>
    <phoneticPr fontId="3" type="noConversion"/>
  </si>
  <si>
    <t xml:space="preserve">戴翠萍 </t>
    <phoneticPr fontId="3" type="noConversion"/>
  </si>
  <si>
    <t>戴翠萍 </t>
  </si>
  <si>
    <t>陕西省西安市碑林区东关南街枣园巷付34号楼。</t>
    <phoneticPr fontId="3" type="noConversion"/>
  </si>
  <si>
    <t>SF3265994275641</t>
    <phoneticPr fontId="3" type="noConversion"/>
  </si>
  <si>
    <t>李玉春</t>
    <phoneticPr fontId="3" type="noConversion"/>
  </si>
  <si>
    <t xml:space="preserve">
广西壮族自治区北海市银海区海韵佳园5栋1204室</t>
    <phoneticPr fontId="3" type="noConversion"/>
  </si>
  <si>
    <t>益寿强身膏*6鹿角帽*4</t>
    <phoneticPr fontId="3" type="noConversion"/>
  </si>
  <si>
    <t>SF3265641453643</t>
    <phoneticPr fontId="3" type="noConversion"/>
  </si>
  <si>
    <t>SF5127360311290</t>
    <phoneticPr fontId="3" type="noConversion"/>
  </si>
  <si>
    <t>SF3265641453689</t>
    <phoneticPr fontId="3" type="noConversion"/>
  </si>
  <si>
    <t>耿庆军</t>
    <phoneticPr fontId="3" type="noConversion"/>
  </si>
  <si>
    <t>山东省济南市历城区东彩世佳花园</t>
  </si>
  <si>
    <t>参茸大补膏*20</t>
    <phoneticPr fontId="3" type="noConversion"/>
  </si>
  <si>
    <t>李改琴</t>
  </si>
  <si>
    <t>江南李</t>
  </si>
  <si>
    <t>海南省海口美兰区市和风江岸2橦2单元1201</t>
    <phoneticPr fontId="3" type="noConversion"/>
  </si>
  <si>
    <t>阳艳</t>
    <phoneticPr fontId="3" type="noConversion"/>
  </si>
  <si>
    <t>益寿强身膏*13*鹿角帽3</t>
    <phoneticPr fontId="3" type="noConversion"/>
  </si>
  <si>
    <t>SF5129001882063</t>
    <phoneticPr fontId="3" type="noConversion"/>
  </si>
  <si>
    <t>SF5103264767697</t>
    <phoneticPr fontId="3" type="noConversion"/>
  </si>
  <si>
    <t>司马崩子</t>
    <phoneticPr fontId="3" type="noConversion"/>
  </si>
  <si>
    <t>高山流水</t>
    <phoneticPr fontId="3" type="noConversion"/>
  </si>
  <si>
    <t>周华山</t>
  </si>
  <si>
    <t>湖北省武汉市蔡甸区越秀翰翰悦府</t>
    <phoneticPr fontId="3" type="noConversion"/>
  </si>
  <si>
    <t>参茸大补膏*3</t>
    <phoneticPr fontId="3" type="noConversion"/>
  </si>
  <si>
    <t>SF3265418484054</t>
    <phoneticPr fontId="3" type="noConversion"/>
  </si>
  <si>
    <t>SF5129491326673</t>
    <phoneticPr fontId="3" type="noConversion"/>
  </si>
  <si>
    <t>靓妈</t>
  </si>
  <si>
    <t>张美尧</t>
    <phoneticPr fontId="3" type="noConversion"/>
  </si>
  <si>
    <t>吉林省延边州延吉市河南街新地小区4号楼三单元202</t>
  </si>
  <si>
    <t>颐神颗粒*2</t>
  </si>
  <si>
    <t>参娥温肾口服液*12</t>
    <phoneticPr fontId="3" type="noConversion"/>
  </si>
  <si>
    <t>SF5101757386521</t>
    <phoneticPr fontId="3" type="noConversion"/>
  </si>
  <si>
    <t>8盒益寿膏换8盒参茸大补膏，补差价1000</t>
    <phoneticPr fontId="3" type="noConversion"/>
  </si>
  <si>
    <t>退换货</t>
    <phoneticPr fontId="3" type="noConversion"/>
  </si>
  <si>
    <t>参茸大补膏*8</t>
    <phoneticPr fontId="3" type="noConversion"/>
  </si>
  <si>
    <t>改动</t>
    <phoneticPr fontId="3" type="noConversion"/>
  </si>
  <si>
    <t>退</t>
    <phoneticPr fontId="3" type="noConversion"/>
  </si>
  <si>
    <t>拦截拒收</t>
    <phoneticPr fontId="3" type="noConversion"/>
  </si>
  <si>
    <t>签收/退货</t>
    <phoneticPr fontId="3" type="noConversion"/>
  </si>
  <si>
    <t>SF5120442739685</t>
  </si>
  <si>
    <t>SF3264368432359</t>
    <phoneticPr fontId="3" type="noConversion"/>
  </si>
  <si>
    <t>SF5120075562710</t>
  </si>
  <si>
    <t>陈凤琼</t>
  </si>
  <si>
    <t>陈凤琼</t>
    <phoneticPr fontId="3" type="noConversion"/>
  </si>
  <si>
    <t>成都市金牛区五块石商贸大道一段26号院</t>
    <phoneticPr fontId="3" type="noConversion"/>
  </si>
  <si>
    <t>桑黄粉*16</t>
    <phoneticPr fontId="3" type="noConversion"/>
  </si>
  <si>
    <t>杨女士</t>
  </si>
  <si>
    <t>吉林长春宽城区高新北区兴华园D区一栋</t>
    <phoneticPr fontId="3" type="noConversion"/>
  </si>
  <si>
    <t>杨淑芹</t>
    <phoneticPr fontId="3" type="noConversion"/>
  </si>
  <si>
    <t>钟梅娟</t>
  </si>
  <si>
    <t>钟梅娟</t>
    <phoneticPr fontId="3" type="noConversion"/>
  </si>
  <si>
    <t>广西南宁市兴宁区朝阳街道邕武路环卫公寓3-1号</t>
  </si>
  <si>
    <t>桑黄粉*24</t>
  </si>
  <si>
    <t>吉祥如意孔</t>
    <phoneticPr fontId="3" type="noConversion"/>
  </si>
  <si>
    <t>山东省济宁市曲阜鲁城街道龙虎小区40号楼</t>
  </si>
  <si>
    <t>桑黄粉*8</t>
  </si>
  <si>
    <t>八仙过海</t>
  </si>
  <si>
    <t>李志良</t>
  </si>
  <si>
    <t>山东省济南市市中区青年西路36楼101</t>
  </si>
  <si>
    <t>桑黄粉*8</t>
    <phoneticPr fontId="3" type="noConversion"/>
  </si>
  <si>
    <t>赵琼兰</t>
    <phoneticPr fontId="3" type="noConversion"/>
  </si>
  <si>
    <t>万紫千红</t>
  </si>
  <si>
    <t>云南省玉溪市红塔区山水家园恒园18栋4号</t>
  </si>
  <si>
    <t>YT2536862686335</t>
  </si>
  <si>
    <t>YT2536862684470</t>
  </si>
  <si>
    <t>YT2541316365683</t>
  </si>
  <si>
    <t>SF5120829247272</t>
  </si>
  <si>
    <t>白玉籣</t>
  </si>
  <si>
    <t>上海市浦东新区金杨新村银山路115-39-503</t>
  </si>
  <si>
    <t>YTD302238754225</t>
  </si>
  <si>
    <t>YTD302280630572</t>
    <phoneticPr fontId="3" type="noConversion"/>
  </si>
  <si>
    <t>YT2536913206459</t>
  </si>
  <si>
    <t>YT2541400763425</t>
  </si>
  <si>
    <t>YTD301784181728</t>
    <phoneticPr fontId="3" type="noConversion"/>
  </si>
  <si>
    <t>YTD302238924936</t>
    <phoneticPr fontId="3" type="noConversion"/>
  </si>
  <si>
    <t>YT2541455201211</t>
    <phoneticPr fontId="3" type="noConversion"/>
  </si>
  <si>
    <t>颐神颗粒7盒*羊胎盘冻干粉五盒</t>
    <phoneticPr fontId="3" type="noConversion"/>
  </si>
  <si>
    <t>SF5109272631502</t>
  </si>
  <si>
    <t>未签收</t>
    <phoneticPr fontId="3" type="noConversion"/>
  </si>
  <si>
    <t>冬虫夏草胶丸*4 紫鑫名方*2 药王石水杯*1 药王石能量吊坠*1</t>
    <phoneticPr fontId="3" type="noConversion"/>
  </si>
  <si>
    <t>SF5122605609800</t>
    <phoneticPr fontId="3" type="noConversion"/>
  </si>
  <si>
    <t>颐神颗粒*3 羊胎盘冻干粉*3</t>
    <phoneticPr fontId="3" type="noConversion"/>
  </si>
  <si>
    <t>SF5128305770929</t>
    <phoneticPr fontId="3" type="noConversion"/>
  </si>
  <si>
    <t>周萍</t>
    <phoneticPr fontId="3" type="noConversion"/>
  </si>
  <si>
    <t>北京市顺义区光明街道金汉绿港一区六号楼二单元903</t>
    <phoneticPr fontId="3" type="noConversion"/>
  </si>
  <si>
    <t>3盒虫草胶丸+1药王石水杯+1药王石能量吊坠</t>
    <phoneticPr fontId="3" type="noConversion"/>
  </si>
  <si>
    <t>颐神颗粒*16  羊胎盘冻干粉*12</t>
    <phoneticPr fontId="3" type="noConversion"/>
  </si>
  <si>
    <t>SF5121622570567</t>
    <phoneticPr fontId="3" type="noConversion"/>
  </si>
  <si>
    <t>SF5121267075268</t>
    <phoneticPr fontId="3" type="noConversion"/>
  </si>
  <si>
    <t>龙血树叶*10</t>
    <phoneticPr fontId="3" type="noConversion"/>
  </si>
  <si>
    <t>吴</t>
    <phoneticPr fontId="3" type="noConversion"/>
  </si>
  <si>
    <t>SF5104888849130</t>
    <phoneticPr fontId="3" type="noConversion"/>
  </si>
  <si>
    <t>SF5121195499480</t>
    <phoneticPr fontId="3" type="noConversion"/>
  </si>
  <si>
    <t>龙血树叶*11</t>
    <phoneticPr fontId="3" type="noConversion"/>
  </si>
  <si>
    <t>吉林省延边州延吉市河南街新地小区4号楼三单元202</t>
    <phoneticPr fontId="3" type="noConversion"/>
  </si>
  <si>
    <t>参蛾温肾口服液*5 无事牌*1 五虫通脉液*1 西红花*10</t>
    <phoneticPr fontId="3" type="noConversion"/>
  </si>
  <si>
    <t>参蛾温肾口服液*10 无事牌*2 五虫通脉液*2</t>
    <phoneticPr fontId="3" type="noConversion"/>
  </si>
  <si>
    <t xml:space="preserve">药都滋补膏*7 太合地户灸*15 天柱通阳灸*5 </t>
    <phoneticPr fontId="3" type="noConversion"/>
  </si>
  <si>
    <t>SF0229741118450</t>
    <phoneticPr fontId="3" type="noConversion"/>
  </si>
  <si>
    <t>SF5125880163761</t>
  </si>
  <si>
    <t>耿忠诚</t>
  </si>
  <si>
    <t>耿忠诚</t>
    <phoneticPr fontId="3" type="noConversion"/>
  </si>
  <si>
    <t>陕西省西安市 长安区郭杜东街49号樱花西岸小区</t>
    <phoneticPr fontId="3" type="noConversion"/>
  </si>
  <si>
    <t>益寿强身膏*20盒</t>
    <phoneticPr fontId="3" type="noConversion"/>
  </si>
  <si>
    <t>SF5139998072591</t>
  </si>
  <si>
    <t>SF0229941741278</t>
    <phoneticPr fontId="3" type="noConversion"/>
  </si>
  <si>
    <t>太合地户灸*10</t>
    <phoneticPr fontId="3" type="noConversion"/>
  </si>
  <si>
    <t>329399256784</t>
    <phoneticPr fontId="3" type="noConversion"/>
  </si>
  <si>
    <t>329392967546</t>
  </si>
  <si>
    <t>329399256572</t>
    <phoneticPr fontId="3" type="noConversion"/>
  </si>
  <si>
    <t>史铁钢</t>
  </si>
  <si>
    <t>史铁钢</t>
    <phoneticPr fontId="3" type="noConversion"/>
  </si>
  <si>
    <t>转介绍</t>
    <phoneticPr fontId="3" type="noConversion"/>
  </si>
  <si>
    <t>河南省漯河市临颍县樊城回族镇夏庄村26号</t>
  </si>
  <si>
    <t>太和地户灸*10</t>
  </si>
  <si>
    <t xml:space="preserve">天柱通阳灸*15 太合地户灸*5 </t>
    <phoneticPr fontId="3" type="noConversion"/>
  </si>
  <si>
    <t>天柱通阳灸*20</t>
    <phoneticPr fontId="3" type="noConversion"/>
  </si>
  <si>
    <t>天通就*10</t>
    <phoneticPr fontId="3" type="noConversion"/>
  </si>
  <si>
    <t>孙</t>
    <phoneticPr fontId="3" type="noConversion"/>
  </si>
  <si>
    <t>杨艳（刘政委转介绍</t>
    <phoneticPr fontId="3" type="noConversion"/>
  </si>
  <si>
    <t>太合地户灸*20</t>
    <phoneticPr fontId="3" type="noConversion"/>
  </si>
  <si>
    <t>SF5139980464507</t>
    <phoneticPr fontId="3" type="noConversion"/>
  </si>
  <si>
    <t>329405433264</t>
  </si>
  <si>
    <t>周林</t>
  </si>
  <si>
    <t>玉麒麟</t>
    <phoneticPr fontId="3" type="noConversion"/>
  </si>
  <si>
    <t>浙江省嘉兴市放鹤洲花园77栋301室</t>
  </si>
  <si>
    <t>参蛾温肾口服液*5玖玖心宝*1五虫通脉液*1</t>
  </si>
  <si>
    <t>SF5192263183816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</si>
</sst>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_ "/>
  </numFmts>
  <fonts count="15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2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20"/>
      <color theme="8" tint="-0.499984740745262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b/>
      <sz val="22"/>
      <color rgb="FFFFFF00"/>
      <name val="宋体"/>
      <family val="3"/>
      <charset val="134"/>
    </font>
    <font>
      <b/>
      <sz val="20"/>
      <color theme="4" tint="-0.249977111117893"/>
      <name val="宋体"/>
      <family val="3"/>
      <charset val="134"/>
    </font>
    <font>
      <sz val="1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/>
    </xf>
    <xf numFmtId="177" fontId="0" fillId="14" borderId="1" xfId="0" applyNumberFormat="1" applyFill="1" applyBorder="1" applyAlignment="1">
      <alignment horizontal="center" vertical="center" wrapText="1"/>
    </xf>
    <xf numFmtId="176" fontId="0" fillId="14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76" fontId="0" fillId="17" borderId="1" xfId="0" applyNumberForma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7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57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17" borderId="3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9"/>
  <sheetViews>
    <sheetView tabSelected="1" zoomScale="70" zoomScaleNormal="70" workbookViewId="0">
      <pane ySplit="2" topLeftCell="A141" activePane="bottomLeft" state="frozen"/>
      <selection pane="bottomLeft" activeCell="I146" sqref="I146"/>
    </sheetView>
  </sheetViews>
  <sheetFormatPr defaultColWidth="9" defaultRowHeight="42" customHeight="1" x14ac:dyDescent="0.15"/>
  <cols>
    <col min="1" max="1" width="9.875" style="2" customWidth="1"/>
    <col min="2" max="2" width="14" style="2" customWidth="1"/>
    <col min="3" max="3" width="9" style="2"/>
    <col min="4" max="4" width="15.125" style="2" customWidth="1"/>
    <col min="5" max="5" width="32.5" style="2" customWidth="1"/>
    <col min="6" max="6" width="18.25" style="2" customWidth="1"/>
    <col min="7" max="7" width="10.5" style="2" customWidth="1"/>
    <col min="8" max="8" width="10.75" style="2" customWidth="1"/>
    <col min="9" max="9" width="11.375" style="2" customWidth="1"/>
    <col min="10" max="10" width="9" style="2"/>
    <col min="11" max="11" width="17.625" style="2" customWidth="1"/>
    <col min="12" max="12" width="10.5" style="2" bestFit="1" customWidth="1"/>
    <col min="13" max="13" width="17.625" style="2" customWidth="1"/>
    <col min="14" max="14" width="10.5" style="2" customWidth="1"/>
    <col min="15" max="15" width="26" style="2" customWidth="1"/>
    <col min="16" max="16" width="4.625" style="12" customWidth="1"/>
    <col min="17" max="16384" width="9" style="12"/>
  </cols>
  <sheetData>
    <row r="1" spans="1:17" ht="4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57</v>
      </c>
      <c r="K1" s="4" t="s">
        <v>54</v>
      </c>
      <c r="L1" s="4" t="s">
        <v>9</v>
      </c>
      <c r="M1" s="4" t="s">
        <v>10</v>
      </c>
      <c r="N1" s="4" t="s">
        <v>63</v>
      </c>
      <c r="O1" s="4" t="s">
        <v>87</v>
      </c>
      <c r="P1" s="19"/>
      <c r="Q1" s="19"/>
    </row>
    <row r="2" spans="1:17" ht="42" customHeight="1" x14ac:dyDescent="0.15">
      <c r="A2" s="55" t="s">
        <v>151</v>
      </c>
      <c r="B2" s="56"/>
      <c r="C2" s="56"/>
      <c r="D2" s="56"/>
      <c r="E2" s="56"/>
      <c r="F2" s="57" t="s">
        <v>369</v>
      </c>
      <c r="G2" s="58"/>
      <c r="H2" s="58"/>
      <c r="I2" s="58"/>
      <c r="J2" s="58"/>
      <c r="K2" s="58"/>
      <c r="L2" s="59" t="s">
        <v>370</v>
      </c>
      <c r="M2" s="60"/>
      <c r="N2" s="60"/>
      <c r="O2" s="61"/>
      <c r="P2" s="35"/>
      <c r="Q2" s="35"/>
    </row>
    <row r="3" spans="1:17" ht="42" customHeight="1" x14ac:dyDescent="0.15">
      <c r="A3" s="52">
        <v>45748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</row>
    <row r="4" spans="1:17" ht="29.25" customHeight="1" x14ac:dyDescent="0.15">
      <c r="A4" s="1" t="s">
        <v>11</v>
      </c>
      <c r="B4" s="1" t="s">
        <v>27</v>
      </c>
      <c r="C4" s="2">
        <v>4.9000000000000004</v>
      </c>
      <c r="D4" s="2">
        <v>15076731826</v>
      </c>
      <c r="E4" s="1" t="s">
        <v>16</v>
      </c>
      <c r="F4" s="1" t="s">
        <v>14</v>
      </c>
      <c r="G4" s="2">
        <v>0</v>
      </c>
      <c r="H4" s="2">
        <v>5970</v>
      </c>
      <c r="I4" s="9">
        <v>5970</v>
      </c>
      <c r="J4" s="1" t="s">
        <v>55</v>
      </c>
      <c r="K4" s="1" t="s">
        <v>58</v>
      </c>
      <c r="L4" s="2">
        <v>4.25</v>
      </c>
      <c r="M4" s="1" t="s">
        <v>12</v>
      </c>
      <c r="N4" s="10"/>
      <c r="O4" s="1" t="s">
        <v>163</v>
      </c>
      <c r="P4" s="2"/>
      <c r="Q4" s="22"/>
    </row>
    <row r="5" spans="1:17" ht="42" customHeight="1" x14ac:dyDescent="0.15">
      <c r="A5" s="1" t="s">
        <v>15</v>
      </c>
      <c r="B5" s="1" t="s">
        <v>27</v>
      </c>
      <c r="C5" s="2">
        <v>4.9000000000000004</v>
      </c>
      <c r="D5" s="2">
        <v>15076731826</v>
      </c>
      <c r="E5" s="2" t="s">
        <v>13</v>
      </c>
      <c r="F5" s="1" t="s">
        <v>17</v>
      </c>
      <c r="G5" s="2">
        <v>0</v>
      </c>
      <c r="H5" s="2">
        <v>0</v>
      </c>
      <c r="I5" s="9">
        <v>0</v>
      </c>
      <c r="J5" s="1" t="s">
        <v>56</v>
      </c>
      <c r="K5" s="1" t="s">
        <v>58</v>
      </c>
      <c r="L5" s="2">
        <v>4.28</v>
      </c>
      <c r="M5" s="1" t="s">
        <v>18</v>
      </c>
      <c r="N5" s="10"/>
      <c r="P5" s="2"/>
      <c r="Q5" s="2"/>
    </row>
    <row r="6" spans="1:17" ht="42" customHeight="1" x14ac:dyDescent="0.15">
      <c r="A6" s="52">
        <v>45778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4"/>
      <c r="P6" s="23"/>
      <c r="Q6" s="22"/>
    </row>
    <row r="7" spans="1:17" ht="42" customHeight="1" x14ac:dyDescent="0.15">
      <c r="A7" s="36" t="s">
        <v>19</v>
      </c>
      <c r="B7" s="26" t="s">
        <v>29</v>
      </c>
      <c r="C7" s="27">
        <v>5.5</v>
      </c>
      <c r="D7" s="27">
        <v>13275575092</v>
      </c>
      <c r="E7" s="27" t="s">
        <v>20</v>
      </c>
      <c r="F7" s="26" t="s">
        <v>38</v>
      </c>
      <c r="G7" s="27">
        <v>0</v>
      </c>
      <c r="H7" s="27">
        <v>1500</v>
      </c>
      <c r="I7" s="27">
        <v>1500</v>
      </c>
      <c r="J7" s="26" t="s">
        <v>62</v>
      </c>
      <c r="K7" s="26" t="s">
        <v>61</v>
      </c>
      <c r="L7" s="27">
        <v>5.13</v>
      </c>
      <c r="M7" s="27"/>
      <c r="N7" s="27">
        <v>1500</v>
      </c>
      <c r="O7" s="27"/>
      <c r="P7" s="2"/>
      <c r="Q7" s="2"/>
    </row>
    <row r="8" spans="1:17" ht="42" customHeight="1" x14ac:dyDescent="0.15">
      <c r="A8" s="36" t="s">
        <v>21</v>
      </c>
      <c r="B8" s="26" t="s">
        <v>28</v>
      </c>
      <c r="C8" s="27">
        <v>5.5</v>
      </c>
      <c r="D8" s="27">
        <v>15532595962</v>
      </c>
      <c r="E8" s="27" t="s">
        <v>22</v>
      </c>
      <c r="F8" s="26" t="s">
        <v>14</v>
      </c>
      <c r="G8" s="27">
        <v>0</v>
      </c>
      <c r="H8" s="27">
        <v>5000</v>
      </c>
      <c r="I8" s="27">
        <v>5000</v>
      </c>
      <c r="J8" s="26" t="s">
        <v>55</v>
      </c>
      <c r="K8" s="26" t="s">
        <v>60</v>
      </c>
      <c r="L8" s="27">
        <v>5.13</v>
      </c>
      <c r="M8" s="26" t="s">
        <v>26</v>
      </c>
      <c r="N8" s="27">
        <v>5000</v>
      </c>
      <c r="O8" s="27"/>
      <c r="P8" s="2"/>
      <c r="Q8" s="2"/>
    </row>
    <row r="9" spans="1:17" ht="42" customHeight="1" x14ac:dyDescent="0.15">
      <c r="A9" s="1" t="s">
        <v>23</v>
      </c>
      <c r="B9" s="1" t="s">
        <v>23</v>
      </c>
      <c r="C9" s="2">
        <v>5.5</v>
      </c>
      <c r="D9" s="2">
        <v>13683528266</v>
      </c>
      <c r="E9" s="2" t="s">
        <v>24</v>
      </c>
      <c r="F9" s="1" t="s">
        <v>25</v>
      </c>
      <c r="G9" s="2">
        <v>0</v>
      </c>
      <c r="H9" s="2">
        <v>11940</v>
      </c>
      <c r="I9" s="9">
        <v>11940</v>
      </c>
      <c r="J9" s="1" t="s">
        <v>55</v>
      </c>
      <c r="K9" s="1" t="s">
        <v>58</v>
      </c>
      <c r="L9" s="2">
        <v>5.14</v>
      </c>
      <c r="M9" s="1" t="s">
        <v>30</v>
      </c>
      <c r="N9" s="3"/>
      <c r="O9" s="1" t="s">
        <v>163</v>
      </c>
      <c r="P9" s="2"/>
      <c r="Q9" s="2"/>
    </row>
    <row r="10" spans="1:17" ht="42" customHeight="1" x14ac:dyDescent="0.15">
      <c r="A10" s="1" t="s">
        <v>11</v>
      </c>
      <c r="B10" s="1" t="s">
        <v>27</v>
      </c>
      <c r="C10" s="2">
        <v>4.9000000000000004</v>
      </c>
      <c r="D10" s="2">
        <v>15076731826</v>
      </c>
      <c r="E10" s="1" t="s">
        <v>16</v>
      </c>
      <c r="F10" s="1" t="s">
        <v>31</v>
      </c>
      <c r="G10" s="2">
        <v>0</v>
      </c>
      <c r="H10" s="2">
        <v>2985</v>
      </c>
      <c r="I10" s="9">
        <v>2985</v>
      </c>
      <c r="J10" s="1" t="s">
        <v>59</v>
      </c>
      <c r="K10" s="1" t="s">
        <v>58</v>
      </c>
      <c r="L10" s="1">
        <v>5.16</v>
      </c>
      <c r="M10" s="1" t="s">
        <v>32</v>
      </c>
      <c r="N10" s="3"/>
      <c r="P10" s="2"/>
      <c r="Q10" s="2"/>
    </row>
    <row r="11" spans="1:17" ht="42" customHeight="1" x14ac:dyDescent="0.15">
      <c r="A11" s="1" t="s">
        <v>33</v>
      </c>
      <c r="B11" s="1" t="s">
        <v>34</v>
      </c>
      <c r="C11" s="2">
        <v>5.5</v>
      </c>
      <c r="D11" s="2">
        <v>15917423481</v>
      </c>
      <c r="E11" s="1" t="s">
        <v>35</v>
      </c>
      <c r="F11" s="1" t="s">
        <v>36</v>
      </c>
      <c r="G11" s="2">
        <v>0</v>
      </c>
      <c r="H11" s="2">
        <v>597</v>
      </c>
      <c r="I11" s="9">
        <v>597</v>
      </c>
      <c r="J11" s="1" t="s">
        <v>55</v>
      </c>
      <c r="K11" s="1" t="s">
        <v>58</v>
      </c>
      <c r="L11" s="2">
        <v>5.16</v>
      </c>
      <c r="M11" s="1" t="s">
        <v>37</v>
      </c>
      <c r="N11" s="3"/>
      <c r="O11" s="1" t="s">
        <v>164</v>
      </c>
      <c r="P11" s="2"/>
      <c r="Q11" s="2"/>
    </row>
    <row r="12" spans="1:17" ht="42" customHeight="1" x14ac:dyDescent="0.15">
      <c r="A12" s="1" t="s">
        <v>39</v>
      </c>
      <c r="B12" s="1" t="s">
        <v>40</v>
      </c>
      <c r="C12" s="2">
        <v>5.5</v>
      </c>
      <c r="D12" s="2">
        <v>13699385429</v>
      </c>
      <c r="E12" s="1" t="s">
        <v>41</v>
      </c>
      <c r="F12" s="1" t="s">
        <v>42</v>
      </c>
      <c r="G12" s="2">
        <v>0</v>
      </c>
      <c r="H12" s="2">
        <v>8955</v>
      </c>
      <c r="I12" s="9">
        <v>8955</v>
      </c>
      <c r="J12" s="1" t="s">
        <v>55</v>
      </c>
      <c r="K12" s="1" t="s">
        <v>58</v>
      </c>
      <c r="L12" s="2">
        <v>5.27</v>
      </c>
      <c r="M12" s="1" t="s">
        <v>43</v>
      </c>
      <c r="N12" s="3"/>
      <c r="O12" s="1" t="s">
        <v>164</v>
      </c>
      <c r="P12" s="2"/>
      <c r="Q12" s="2"/>
    </row>
    <row r="13" spans="1:17" ht="42" customHeight="1" x14ac:dyDescent="0.15">
      <c r="A13" s="1" t="s">
        <v>33</v>
      </c>
      <c r="B13" s="1" t="s">
        <v>34</v>
      </c>
      <c r="C13" s="2">
        <v>5.5</v>
      </c>
      <c r="D13" s="2">
        <v>15917423481</v>
      </c>
      <c r="E13" s="1" t="s">
        <v>35</v>
      </c>
      <c r="F13" s="1" t="s">
        <v>44</v>
      </c>
      <c r="G13" s="2">
        <v>0</v>
      </c>
      <c r="H13" s="2">
        <v>1791</v>
      </c>
      <c r="I13" s="9">
        <v>1791</v>
      </c>
      <c r="J13" s="1" t="s">
        <v>59</v>
      </c>
      <c r="K13" s="1" t="s">
        <v>58</v>
      </c>
      <c r="L13" s="2">
        <v>5.28</v>
      </c>
      <c r="M13" s="1" t="s">
        <v>46</v>
      </c>
      <c r="N13" s="3"/>
      <c r="P13" s="2"/>
      <c r="Q13" s="2"/>
    </row>
    <row r="14" spans="1:17" ht="42" customHeight="1" x14ac:dyDescent="0.15">
      <c r="A14" s="5"/>
      <c r="B14" s="5"/>
      <c r="C14" s="5"/>
      <c r="D14" s="5"/>
      <c r="E14" s="5"/>
      <c r="F14" s="5"/>
      <c r="G14" s="48" t="s">
        <v>45</v>
      </c>
      <c r="H14" s="49"/>
      <c r="I14" s="6">
        <f>SUM(I7:I13)</f>
        <v>32768</v>
      </c>
      <c r="J14" s="5"/>
      <c r="K14" s="50" t="s">
        <v>64</v>
      </c>
      <c r="L14" s="51"/>
      <c r="M14" s="7">
        <f>SUM(N7:N13)</f>
        <v>6500</v>
      </c>
      <c r="N14" s="8" t="s">
        <v>65</v>
      </c>
      <c r="O14" s="8">
        <f>I14-M14</f>
        <v>26268</v>
      </c>
      <c r="P14" s="23"/>
      <c r="Q14" s="22"/>
    </row>
    <row r="15" spans="1:17" ht="42" customHeight="1" x14ac:dyDescent="0.15">
      <c r="A15" s="52">
        <v>45809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4"/>
      <c r="P15" s="23"/>
      <c r="Q15" s="22"/>
    </row>
    <row r="16" spans="1:17" ht="42" customHeight="1" x14ac:dyDescent="0.15">
      <c r="A16" s="1" t="s">
        <v>47</v>
      </c>
      <c r="B16" s="1" t="s">
        <v>48</v>
      </c>
      <c r="C16" s="13">
        <v>5.2</v>
      </c>
      <c r="D16" s="2">
        <v>15725208183</v>
      </c>
      <c r="E16" s="1" t="s">
        <v>49</v>
      </c>
      <c r="F16" s="1" t="s">
        <v>14</v>
      </c>
      <c r="G16" s="2">
        <v>0</v>
      </c>
      <c r="H16" s="2">
        <v>5970</v>
      </c>
      <c r="I16" s="9">
        <v>5970</v>
      </c>
      <c r="J16" s="1" t="s">
        <v>55</v>
      </c>
      <c r="K16" s="1" t="s">
        <v>58</v>
      </c>
      <c r="L16" s="2">
        <v>6.2</v>
      </c>
      <c r="M16" s="1" t="s">
        <v>50</v>
      </c>
      <c r="N16" s="10"/>
      <c r="O16" s="1" t="s">
        <v>164</v>
      </c>
      <c r="P16" s="2"/>
      <c r="Q16" s="22"/>
    </row>
    <row r="17" spans="1:17" ht="42" customHeight="1" x14ac:dyDescent="0.15">
      <c r="A17" s="1" t="s">
        <v>51</v>
      </c>
      <c r="B17" s="1" t="s">
        <v>52</v>
      </c>
      <c r="C17" s="13">
        <v>5.2</v>
      </c>
      <c r="D17" s="2">
        <v>18091635878</v>
      </c>
      <c r="E17" s="1" t="s">
        <v>53</v>
      </c>
      <c r="F17" s="1" t="s">
        <v>38</v>
      </c>
      <c r="G17" s="2">
        <v>0</v>
      </c>
      <c r="H17" s="2">
        <v>1791</v>
      </c>
      <c r="I17" s="9">
        <v>1791</v>
      </c>
      <c r="J17" s="1" t="s">
        <v>55</v>
      </c>
      <c r="K17" s="1" t="s">
        <v>58</v>
      </c>
      <c r="L17" s="2">
        <v>6.4</v>
      </c>
      <c r="M17" s="1" t="s">
        <v>66</v>
      </c>
      <c r="N17" s="10"/>
      <c r="O17" s="1" t="s">
        <v>163</v>
      </c>
      <c r="P17" s="2"/>
      <c r="Q17" s="24"/>
    </row>
    <row r="18" spans="1:17" ht="42" customHeight="1" x14ac:dyDescent="0.15">
      <c r="A18" s="1" t="s">
        <v>47</v>
      </c>
      <c r="B18" s="1" t="s">
        <v>48</v>
      </c>
      <c r="C18" s="13">
        <v>5.2</v>
      </c>
      <c r="D18" s="2">
        <v>15725208183</v>
      </c>
      <c r="E18" s="1" t="s">
        <v>49</v>
      </c>
      <c r="F18" s="1" t="s">
        <v>67</v>
      </c>
      <c r="G18" s="2">
        <v>484</v>
      </c>
      <c r="H18" s="2">
        <v>2500</v>
      </c>
      <c r="I18" s="9">
        <v>2985</v>
      </c>
      <c r="J18" s="1" t="s">
        <v>59</v>
      </c>
      <c r="K18" s="1" t="s">
        <v>58</v>
      </c>
      <c r="L18" s="2">
        <v>6.7</v>
      </c>
      <c r="M18" s="1" t="s">
        <v>68</v>
      </c>
      <c r="N18" s="10"/>
    </row>
    <row r="19" spans="1:17" ht="42" customHeight="1" x14ac:dyDescent="0.15">
      <c r="A19" s="1" t="s">
        <v>94</v>
      </c>
      <c r="B19" s="11" t="s">
        <v>71</v>
      </c>
      <c r="C19" s="13">
        <v>5.2</v>
      </c>
      <c r="D19" s="1" t="s">
        <v>95</v>
      </c>
      <c r="E19" s="1" t="s">
        <v>97</v>
      </c>
      <c r="F19" s="1" t="s">
        <v>98</v>
      </c>
      <c r="G19" s="2">
        <v>0</v>
      </c>
      <c r="H19" s="2">
        <v>4179</v>
      </c>
      <c r="I19" s="9">
        <v>4179</v>
      </c>
      <c r="J19" s="1" t="s">
        <v>55</v>
      </c>
      <c r="K19" s="1" t="s">
        <v>58</v>
      </c>
      <c r="L19" s="2">
        <v>6.9</v>
      </c>
      <c r="M19" s="1" t="s">
        <v>72</v>
      </c>
      <c r="N19" s="10"/>
      <c r="O19" s="1" t="s">
        <v>163</v>
      </c>
    </row>
    <row r="20" spans="1:17" ht="42" customHeight="1" x14ac:dyDescent="0.15">
      <c r="A20" s="2" t="s">
        <v>69</v>
      </c>
      <c r="B20" s="11" t="s">
        <v>71</v>
      </c>
      <c r="C20" s="13">
        <v>5.2</v>
      </c>
      <c r="D20" s="2" t="s">
        <v>70</v>
      </c>
      <c r="E20" s="1" t="s">
        <v>97</v>
      </c>
      <c r="F20" s="1" t="s">
        <v>73</v>
      </c>
      <c r="G20" s="2">
        <v>0</v>
      </c>
      <c r="H20" s="2">
        <v>5970</v>
      </c>
      <c r="I20" s="9">
        <v>5970</v>
      </c>
      <c r="J20" s="1" t="s">
        <v>59</v>
      </c>
      <c r="K20" s="1" t="s">
        <v>58</v>
      </c>
      <c r="L20" s="2">
        <v>6.14</v>
      </c>
      <c r="M20" s="1" t="s">
        <v>74</v>
      </c>
      <c r="N20" s="10"/>
    </row>
    <row r="21" spans="1:17" ht="42" customHeight="1" x14ac:dyDescent="0.15">
      <c r="A21" s="2" t="s">
        <v>75</v>
      </c>
      <c r="B21" s="1" t="s">
        <v>189</v>
      </c>
      <c r="C21" s="14">
        <v>6.5</v>
      </c>
      <c r="D21" s="2">
        <v>13188748856</v>
      </c>
      <c r="E21" s="1" t="s">
        <v>96</v>
      </c>
      <c r="F21" s="2" t="s">
        <v>76</v>
      </c>
      <c r="G21" s="2">
        <v>0</v>
      </c>
      <c r="H21" s="2">
        <v>1194</v>
      </c>
      <c r="I21" s="9">
        <v>1194</v>
      </c>
      <c r="J21" s="1" t="s">
        <v>55</v>
      </c>
      <c r="K21" s="1" t="s">
        <v>58</v>
      </c>
      <c r="L21" s="2">
        <v>6.17</v>
      </c>
      <c r="M21" s="1" t="s">
        <v>77</v>
      </c>
      <c r="N21" s="10"/>
      <c r="O21" s="1" t="s">
        <v>163</v>
      </c>
    </row>
    <row r="22" spans="1:17" ht="42" customHeight="1" x14ac:dyDescent="0.15">
      <c r="A22" s="2" t="s">
        <v>75</v>
      </c>
      <c r="B22" s="2" t="s">
        <v>75</v>
      </c>
      <c r="C22" s="14">
        <v>6.5</v>
      </c>
      <c r="D22" s="2">
        <v>13188748856</v>
      </c>
      <c r="E22" s="1" t="s">
        <v>96</v>
      </c>
      <c r="F22" s="1" t="s">
        <v>78</v>
      </c>
      <c r="G22" s="2">
        <v>0</v>
      </c>
      <c r="H22" s="2">
        <v>7761</v>
      </c>
      <c r="I22" s="9">
        <v>7761</v>
      </c>
      <c r="J22" s="1" t="s">
        <v>59</v>
      </c>
      <c r="K22" s="1" t="s">
        <v>58</v>
      </c>
      <c r="L22" s="2">
        <v>6.24</v>
      </c>
      <c r="M22" s="1" t="s">
        <v>80</v>
      </c>
      <c r="N22" s="10"/>
    </row>
    <row r="23" spans="1:17" ht="42" customHeight="1" x14ac:dyDescent="0.15">
      <c r="A23" s="1" t="s">
        <v>39</v>
      </c>
      <c r="B23" s="1" t="s">
        <v>40</v>
      </c>
      <c r="C23" s="2">
        <v>5.5</v>
      </c>
      <c r="D23" s="2">
        <v>13699385429</v>
      </c>
      <c r="E23" s="1" t="s">
        <v>41</v>
      </c>
      <c r="F23" s="1" t="s">
        <v>79</v>
      </c>
      <c r="G23" s="2">
        <v>0</v>
      </c>
      <c r="H23" s="2">
        <v>8955</v>
      </c>
      <c r="I23" s="9">
        <v>8955</v>
      </c>
      <c r="J23" s="1" t="s">
        <v>59</v>
      </c>
      <c r="K23" s="1" t="s">
        <v>58</v>
      </c>
      <c r="L23" s="2">
        <v>6.25</v>
      </c>
      <c r="M23" s="1" t="s">
        <v>81</v>
      </c>
      <c r="N23" s="3"/>
      <c r="O23" s="1" t="s">
        <v>99</v>
      </c>
    </row>
    <row r="24" spans="1:17" ht="42" customHeight="1" x14ac:dyDescent="0.15">
      <c r="A24" s="1" t="s">
        <v>47</v>
      </c>
      <c r="B24" s="1" t="s">
        <v>48</v>
      </c>
      <c r="C24" s="13">
        <v>5.2</v>
      </c>
      <c r="D24" s="2">
        <v>15725208183</v>
      </c>
      <c r="E24" s="1" t="s">
        <v>49</v>
      </c>
      <c r="F24" s="1" t="s">
        <v>82</v>
      </c>
      <c r="G24" s="2">
        <v>0</v>
      </c>
      <c r="H24" s="2">
        <v>2985</v>
      </c>
      <c r="I24" s="9">
        <v>2985</v>
      </c>
      <c r="J24" s="1" t="s">
        <v>59</v>
      </c>
      <c r="K24" s="1" t="s">
        <v>58</v>
      </c>
      <c r="L24" s="2">
        <v>6.27</v>
      </c>
      <c r="M24" s="1" t="s">
        <v>83</v>
      </c>
      <c r="N24" s="10"/>
    </row>
    <row r="25" spans="1:17" ht="42" customHeight="1" x14ac:dyDescent="0.15">
      <c r="A25" s="1" t="s">
        <v>84</v>
      </c>
      <c r="B25" s="1" t="s">
        <v>85</v>
      </c>
      <c r="C25" s="13">
        <v>6.19</v>
      </c>
      <c r="D25" s="2">
        <v>18204140879</v>
      </c>
      <c r="E25" s="1" t="s">
        <v>86</v>
      </c>
      <c r="F25" s="1" t="s">
        <v>14</v>
      </c>
      <c r="G25" s="15">
        <v>0</v>
      </c>
      <c r="H25" s="16">
        <v>5970</v>
      </c>
      <c r="I25" s="9">
        <v>5970</v>
      </c>
      <c r="J25" s="1" t="s">
        <v>55</v>
      </c>
      <c r="K25" s="1" t="s">
        <v>58</v>
      </c>
      <c r="L25" s="18">
        <v>6.3</v>
      </c>
      <c r="M25" s="1" t="s">
        <v>92</v>
      </c>
      <c r="N25" s="10"/>
      <c r="O25" s="1" t="s">
        <v>165</v>
      </c>
    </row>
    <row r="26" spans="1:17" ht="42" customHeight="1" x14ac:dyDescent="0.15">
      <c r="A26" s="5"/>
      <c r="B26" s="5"/>
      <c r="C26" s="5"/>
      <c r="D26" s="5"/>
      <c r="E26" s="5"/>
      <c r="F26" s="5"/>
      <c r="G26" s="48" t="s">
        <v>45</v>
      </c>
      <c r="H26" s="49"/>
      <c r="I26" s="6">
        <f>SUM(I16:I25)</f>
        <v>47760</v>
      </c>
      <c r="J26" s="5"/>
      <c r="K26" s="50" t="s">
        <v>64</v>
      </c>
      <c r="L26" s="51"/>
      <c r="M26" s="7">
        <f>SUM(N18:N25)</f>
        <v>0</v>
      </c>
      <c r="N26" s="8" t="s">
        <v>65</v>
      </c>
      <c r="O26" s="8">
        <f>I26-M26</f>
        <v>47760</v>
      </c>
    </row>
    <row r="27" spans="1:17" ht="42" customHeight="1" x14ac:dyDescent="0.15">
      <c r="A27" s="52">
        <v>45839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</row>
    <row r="28" spans="1:17" ht="42" customHeight="1" x14ac:dyDescent="0.15">
      <c r="A28" s="1" t="s">
        <v>88</v>
      </c>
      <c r="B28" s="1" t="s">
        <v>89</v>
      </c>
      <c r="C28" s="13">
        <v>5.2</v>
      </c>
      <c r="D28" s="2">
        <v>18719133041</v>
      </c>
      <c r="E28" s="1" t="s">
        <v>91</v>
      </c>
      <c r="F28" s="1" t="s">
        <v>90</v>
      </c>
      <c r="G28" s="2">
        <v>0</v>
      </c>
      <c r="H28" s="2">
        <v>2985</v>
      </c>
      <c r="I28" s="9">
        <v>2985</v>
      </c>
      <c r="J28" s="1" t="s">
        <v>55</v>
      </c>
      <c r="K28" s="1" t="s">
        <v>58</v>
      </c>
      <c r="L28" s="2">
        <v>7.1</v>
      </c>
      <c r="M28" s="1" t="s">
        <v>93</v>
      </c>
      <c r="N28" s="17"/>
      <c r="O28" s="1" t="s">
        <v>164</v>
      </c>
    </row>
    <row r="29" spans="1:17" ht="42" customHeight="1" x14ac:dyDescent="0.15">
      <c r="A29" s="1" t="s">
        <v>11</v>
      </c>
      <c r="B29" s="1" t="s">
        <v>27</v>
      </c>
      <c r="C29" s="2">
        <v>4.9000000000000004</v>
      </c>
      <c r="D29" s="2">
        <v>15076731826</v>
      </c>
      <c r="E29" s="1" t="s">
        <v>16</v>
      </c>
      <c r="F29" s="1" t="s">
        <v>14</v>
      </c>
      <c r="G29" s="2">
        <v>0</v>
      </c>
      <c r="H29" s="2">
        <v>4776</v>
      </c>
      <c r="I29" s="9">
        <v>4776</v>
      </c>
      <c r="J29" s="1" t="s">
        <v>59</v>
      </c>
      <c r="K29" s="1" t="s">
        <v>58</v>
      </c>
      <c r="L29" s="1">
        <v>7.2</v>
      </c>
      <c r="M29" s="1" t="s">
        <v>111</v>
      </c>
      <c r="N29" s="17"/>
    </row>
    <row r="30" spans="1:17" ht="42" customHeight="1" x14ac:dyDescent="0.15">
      <c r="A30" s="1" t="s">
        <v>88</v>
      </c>
      <c r="B30" s="1" t="s">
        <v>89</v>
      </c>
      <c r="C30" s="13">
        <v>5.2</v>
      </c>
      <c r="D30" s="2">
        <v>18719133041</v>
      </c>
      <c r="E30" s="1" t="s">
        <v>91</v>
      </c>
      <c r="F30" s="2" t="s">
        <v>100</v>
      </c>
      <c r="G30" s="2">
        <v>0</v>
      </c>
      <c r="H30" s="2">
        <v>8955</v>
      </c>
      <c r="I30" s="9">
        <v>8955</v>
      </c>
      <c r="J30" s="1" t="s">
        <v>59</v>
      </c>
      <c r="K30" s="1" t="s">
        <v>58</v>
      </c>
      <c r="L30" s="2">
        <v>7.6</v>
      </c>
      <c r="M30" s="2" t="s">
        <v>101</v>
      </c>
      <c r="N30" s="17"/>
    </row>
    <row r="31" spans="1:17" ht="42" customHeight="1" x14ac:dyDescent="0.15">
      <c r="A31" s="1" t="s">
        <v>102</v>
      </c>
      <c r="B31" s="1" t="s">
        <v>102</v>
      </c>
      <c r="C31" s="2">
        <v>5.5</v>
      </c>
      <c r="D31" s="2">
        <v>17881794223</v>
      </c>
      <c r="E31" s="2" t="s">
        <v>103</v>
      </c>
      <c r="F31" s="2" t="s">
        <v>76</v>
      </c>
      <c r="G31" s="2">
        <v>0</v>
      </c>
      <c r="H31" s="2">
        <v>1000</v>
      </c>
      <c r="I31" s="9">
        <v>1000</v>
      </c>
      <c r="J31" s="1" t="s">
        <v>55</v>
      </c>
      <c r="K31" s="1" t="s">
        <v>58</v>
      </c>
      <c r="L31" s="2">
        <v>7.8</v>
      </c>
      <c r="M31" s="2" t="s">
        <v>107</v>
      </c>
      <c r="N31" s="17"/>
      <c r="O31" s="1" t="s">
        <v>163</v>
      </c>
    </row>
    <row r="32" spans="1:17" ht="42" customHeight="1" x14ac:dyDescent="0.15">
      <c r="A32" s="36" t="s">
        <v>104</v>
      </c>
      <c r="B32" s="26" t="s">
        <v>104</v>
      </c>
      <c r="C32" s="27">
        <v>6.19</v>
      </c>
      <c r="D32" s="27">
        <v>17753713428</v>
      </c>
      <c r="E32" s="27" t="s">
        <v>106</v>
      </c>
      <c r="F32" s="26" t="s">
        <v>105</v>
      </c>
      <c r="G32" s="27">
        <v>200</v>
      </c>
      <c r="H32" s="27">
        <v>2300</v>
      </c>
      <c r="I32" s="27">
        <v>2500</v>
      </c>
      <c r="J32" s="26" t="s">
        <v>55</v>
      </c>
      <c r="K32" s="26" t="s">
        <v>60</v>
      </c>
      <c r="L32" s="27">
        <v>7.8</v>
      </c>
      <c r="M32" s="26" t="s">
        <v>108</v>
      </c>
      <c r="N32" s="27">
        <v>2500</v>
      </c>
      <c r="O32" s="27"/>
    </row>
    <row r="33" spans="1:15" ht="42" customHeight="1" x14ac:dyDescent="0.15">
      <c r="A33" s="1" t="s">
        <v>33</v>
      </c>
      <c r="B33" s="1" t="s">
        <v>34</v>
      </c>
      <c r="C33" s="2">
        <v>5.5</v>
      </c>
      <c r="D33" s="2">
        <v>15917423481</v>
      </c>
      <c r="E33" s="1" t="s">
        <v>35</v>
      </c>
      <c r="F33" s="2" t="s">
        <v>109</v>
      </c>
      <c r="G33" s="2">
        <v>0</v>
      </c>
      <c r="H33" s="2">
        <v>1791</v>
      </c>
      <c r="I33" s="9">
        <v>1791</v>
      </c>
      <c r="J33" s="1" t="s">
        <v>59</v>
      </c>
      <c r="K33" s="1" t="s">
        <v>112</v>
      </c>
      <c r="L33" s="2">
        <v>7.11</v>
      </c>
      <c r="M33" s="2" t="s">
        <v>110</v>
      </c>
      <c r="N33" s="17"/>
    </row>
    <row r="34" spans="1:15" ht="42" customHeight="1" x14ac:dyDescent="0.15">
      <c r="A34" s="36" t="s">
        <v>113</v>
      </c>
      <c r="B34" s="26" t="s">
        <v>114</v>
      </c>
      <c r="C34" s="27">
        <v>7.9</v>
      </c>
      <c r="D34" s="27">
        <v>15395372975</v>
      </c>
      <c r="E34" s="26" t="s">
        <v>115</v>
      </c>
      <c r="F34" s="26" t="s">
        <v>116</v>
      </c>
      <c r="G34" s="27">
        <v>940</v>
      </c>
      <c r="H34" s="27">
        <v>11000</v>
      </c>
      <c r="I34" s="27">
        <v>10940</v>
      </c>
      <c r="J34" s="26" t="s">
        <v>55</v>
      </c>
      <c r="K34" s="26" t="s">
        <v>151</v>
      </c>
      <c r="L34" s="27">
        <v>7.18</v>
      </c>
      <c r="M34" s="26" t="s">
        <v>121</v>
      </c>
      <c r="N34" s="27">
        <v>10000</v>
      </c>
      <c r="O34" s="26" t="s">
        <v>136</v>
      </c>
    </row>
    <row r="35" spans="1:15" ht="42" customHeight="1" x14ac:dyDescent="0.15">
      <c r="A35" s="1" t="s">
        <v>117</v>
      </c>
      <c r="B35" s="1" t="s">
        <v>118</v>
      </c>
      <c r="C35" s="2">
        <v>7.9</v>
      </c>
      <c r="D35" s="2">
        <v>18851914270</v>
      </c>
      <c r="E35" s="1" t="s">
        <v>119</v>
      </c>
      <c r="F35" s="2" t="s">
        <v>120</v>
      </c>
      <c r="G35" s="2">
        <v>0</v>
      </c>
      <c r="H35" s="2">
        <v>2700</v>
      </c>
      <c r="I35" s="9">
        <v>2700</v>
      </c>
      <c r="J35" s="1" t="s">
        <v>55</v>
      </c>
      <c r="K35" s="1" t="s">
        <v>58</v>
      </c>
      <c r="L35" s="2">
        <v>7.18</v>
      </c>
      <c r="M35" s="1" t="s">
        <v>128</v>
      </c>
      <c r="N35" s="17"/>
      <c r="O35" s="1" t="s">
        <v>165</v>
      </c>
    </row>
    <row r="36" spans="1:15" ht="42" customHeight="1" x14ac:dyDescent="0.15">
      <c r="A36" s="1" t="s">
        <v>122</v>
      </c>
      <c r="B36" s="1" t="s">
        <v>130</v>
      </c>
      <c r="C36" s="2">
        <v>7.9</v>
      </c>
      <c r="D36" s="1" t="s">
        <v>134</v>
      </c>
      <c r="E36" s="1" t="s">
        <v>123</v>
      </c>
      <c r="F36" s="2" t="s">
        <v>76</v>
      </c>
      <c r="G36" s="2">
        <v>194</v>
      </c>
      <c r="H36" s="2">
        <v>1000</v>
      </c>
      <c r="I36" s="9">
        <v>1194</v>
      </c>
      <c r="J36" s="1" t="s">
        <v>55</v>
      </c>
      <c r="K36" s="1" t="s">
        <v>58</v>
      </c>
      <c r="L36" s="2">
        <v>7.19</v>
      </c>
      <c r="M36" s="1" t="s">
        <v>129</v>
      </c>
      <c r="N36" s="17"/>
      <c r="O36" s="1" t="s">
        <v>164</v>
      </c>
    </row>
    <row r="37" spans="1:15" ht="42" customHeight="1" x14ac:dyDescent="0.15">
      <c r="A37" s="37" t="s">
        <v>124</v>
      </c>
      <c r="B37" s="26" t="s">
        <v>125</v>
      </c>
      <c r="C37" s="27">
        <v>7.9</v>
      </c>
      <c r="D37" s="27">
        <v>18669689581</v>
      </c>
      <c r="E37" s="28" t="s">
        <v>126</v>
      </c>
      <c r="F37" s="26" t="s">
        <v>127</v>
      </c>
      <c r="G37" s="27">
        <v>0</v>
      </c>
      <c r="H37" s="28">
        <v>5970</v>
      </c>
      <c r="I37" s="27">
        <v>5970</v>
      </c>
      <c r="J37" s="26" t="s">
        <v>55</v>
      </c>
      <c r="K37" s="26" t="s">
        <v>154</v>
      </c>
      <c r="L37" s="27">
        <v>7.19</v>
      </c>
      <c r="M37" s="26" t="s">
        <v>131</v>
      </c>
      <c r="N37" s="27">
        <v>5970</v>
      </c>
      <c r="O37" s="26" t="s">
        <v>155</v>
      </c>
    </row>
    <row r="38" spans="1:15" ht="42" customHeight="1" x14ac:dyDescent="0.15">
      <c r="A38" s="1" t="s">
        <v>84</v>
      </c>
      <c r="B38" s="1" t="s">
        <v>85</v>
      </c>
      <c r="C38" s="13">
        <v>6.19</v>
      </c>
      <c r="D38" s="2">
        <v>18204140879</v>
      </c>
      <c r="E38" s="1" t="s">
        <v>86</v>
      </c>
      <c r="F38" s="1" t="s">
        <v>132</v>
      </c>
      <c r="G38" s="15">
        <v>0</v>
      </c>
      <c r="H38" s="16">
        <v>2985</v>
      </c>
      <c r="I38" s="9">
        <v>2985</v>
      </c>
      <c r="J38" s="1" t="s">
        <v>59</v>
      </c>
      <c r="K38" s="1" t="s">
        <v>58</v>
      </c>
      <c r="L38" s="18">
        <v>7.23</v>
      </c>
      <c r="M38" s="1" t="s">
        <v>133</v>
      </c>
      <c r="N38" s="17"/>
    </row>
    <row r="39" spans="1:15" ht="42" customHeight="1" x14ac:dyDescent="0.15">
      <c r="A39" s="1" t="s">
        <v>88</v>
      </c>
      <c r="B39" s="1" t="s">
        <v>89</v>
      </c>
      <c r="C39" s="13">
        <v>5.2</v>
      </c>
      <c r="D39" s="2">
        <v>18719133041</v>
      </c>
      <c r="E39" s="1" t="s">
        <v>91</v>
      </c>
      <c r="F39" s="1" t="s">
        <v>152</v>
      </c>
      <c r="G39" s="2">
        <v>485</v>
      </c>
      <c r="H39" s="2">
        <v>2500</v>
      </c>
      <c r="I39" s="9">
        <v>2985</v>
      </c>
      <c r="J39" s="1" t="s">
        <v>59</v>
      </c>
      <c r="K39" s="1" t="s">
        <v>58</v>
      </c>
      <c r="L39" s="2">
        <v>7.27</v>
      </c>
      <c r="M39" s="1" t="s">
        <v>135</v>
      </c>
      <c r="N39" s="17"/>
    </row>
    <row r="40" spans="1:15" ht="42" customHeight="1" x14ac:dyDescent="0.15">
      <c r="A40" s="1" t="s">
        <v>137</v>
      </c>
      <c r="B40" s="1" t="s">
        <v>138</v>
      </c>
      <c r="C40" s="2">
        <v>7.22</v>
      </c>
      <c r="D40" s="2">
        <v>18188284966</v>
      </c>
      <c r="E40" s="2" t="s">
        <v>139</v>
      </c>
      <c r="F40" s="1" t="s">
        <v>140</v>
      </c>
      <c r="G40" s="2">
        <v>0</v>
      </c>
      <c r="H40" s="2">
        <v>1194</v>
      </c>
      <c r="I40" s="9">
        <v>1194</v>
      </c>
      <c r="J40" s="1" t="s">
        <v>55</v>
      </c>
      <c r="K40" s="1" t="s">
        <v>58</v>
      </c>
      <c r="L40" s="13">
        <v>7.3</v>
      </c>
      <c r="M40" s="1" t="s">
        <v>143</v>
      </c>
      <c r="N40" s="17"/>
      <c r="O40" s="1" t="s">
        <v>165</v>
      </c>
    </row>
    <row r="41" spans="1:15" ht="42" customHeight="1" x14ac:dyDescent="0.15">
      <c r="A41" s="2" t="s">
        <v>142</v>
      </c>
      <c r="B41" s="1" t="s">
        <v>118</v>
      </c>
      <c r="C41" s="2">
        <v>7.9</v>
      </c>
      <c r="D41" s="2">
        <v>18851914270</v>
      </c>
      <c r="E41" s="1" t="s">
        <v>119</v>
      </c>
      <c r="F41" s="1" t="s">
        <v>105</v>
      </c>
      <c r="G41" s="2">
        <v>0</v>
      </c>
      <c r="H41" s="2">
        <v>2985</v>
      </c>
      <c r="I41" s="9">
        <v>2985</v>
      </c>
      <c r="J41" s="1" t="s">
        <v>59</v>
      </c>
      <c r="K41" s="1" t="s">
        <v>58</v>
      </c>
      <c r="L41" s="13">
        <v>7.3</v>
      </c>
      <c r="M41" s="11" t="s">
        <v>144</v>
      </c>
      <c r="N41" s="17"/>
    </row>
    <row r="42" spans="1:15" ht="42" customHeight="1" x14ac:dyDescent="0.15">
      <c r="A42" s="5"/>
      <c r="B42" s="5"/>
      <c r="C42" s="5"/>
      <c r="D42" s="5"/>
      <c r="E42" s="21" t="s">
        <v>141</v>
      </c>
      <c r="F42" s="20">
        <f>G33+G35+G37+G40</f>
        <v>0</v>
      </c>
      <c r="G42" s="48" t="s">
        <v>45</v>
      </c>
      <c r="H42" s="49"/>
      <c r="I42" s="6">
        <f>SUM(I28:I41)</f>
        <v>52960</v>
      </c>
      <c r="J42" s="5"/>
      <c r="K42" s="50" t="s">
        <v>64</v>
      </c>
      <c r="L42" s="51"/>
      <c r="M42" s="7">
        <f>SUM(N28:N41)</f>
        <v>18470</v>
      </c>
      <c r="N42" s="8" t="s">
        <v>65</v>
      </c>
      <c r="O42" s="8">
        <f>I42-M42</f>
        <v>34490</v>
      </c>
    </row>
    <row r="43" spans="1:15" ht="42" customHeight="1" x14ac:dyDescent="0.15">
      <c r="A43" s="52">
        <v>45870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4"/>
    </row>
    <row r="44" spans="1:15" ht="42" customHeight="1" x14ac:dyDescent="0.15">
      <c r="A44" s="36" t="s">
        <v>137</v>
      </c>
      <c r="B44" s="26" t="s">
        <v>138</v>
      </c>
      <c r="C44" s="27">
        <v>7.22</v>
      </c>
      <c r="D44" s="27">
        <v>18188284966</v>
      </c>
      <c r="E44" s="27" t="s">
        <v>139</v>
      </c>
      <c r="F44" s="26" t="s">
        <v>38</v>
      </c>
      <c r="G44" s="27">
        <v>0</v>
      </c>
      <c r="H44" s="27">
        <v>1791</v>
      </c>
      <c r="I44" s="27">
        <v>1791</v>
      </c>
      <c r="J44" s="26" t="s">
        <v>59</v>
      </c>
      <c r="K44" s="26" t="s">
        <v>151</v>
      </c>
      <c r="L44" s="29">
        <v>8.4</v>
      </c>
      <c r="M44" s="26" t="s">
        <v>145</v>
      </c>
      <c r="N44" s="27">
        <v>1791</v>
      </c>
      <c r="O44" s="27"/>
    </row>
    <row r="45" spans="1:15" ht="42" customHeight="1" x14ac:dyDescent="0.15">
      <c r="A45" s="36" t="s">
        <v>147</v>
      </c>
      <c r="B45" s="28" t="s">
        <v>146</v>
      </c>
      <c r="C45" s="27">
        <v>7.22</v>
      </c>
      <c r="D45" s="26">
        <v>13649137858</v>
      </c>
      <c r="E45" s="26" t="s">
        <v>148</v>
      </c>
      <c r="F45" s="26" t="s">
        <v>149</v>
      </c>
      <c r="G45" s="27">
        <v>0</v>
      </c>
      <c r="H45" s="27">
        <v>1194</v>
      </c>
      <c r="I45" s="27">
        <v>1194</v>
      </c>
      <c r="J45" s="26" t="s">
        <v>55</v>
      </c>
      <c r="K45" s="26" t="s">
        <v>151</v>
      </c>
      <c r="L45" s="27">
        <v>8.6</v>
      </c>
      <c r="M45" s="28" t="s">
        <v>150</v>
      </c>
      <c r="N45" s="27">
        <v>1194</v>
      </c>
      <c r="O45" s="27"/>
    </row>
    <row r="46" spans="1:15" ht="42" customHeight="1" x14ac:dyDescent="0.15">
      <c r="A46" s="1" t="s">
        <v>88</v>
      </c>
      <c r="B46" s="1" t="s">
        <v>89</v>
      </c>
      <c r="C46" s="13">
        <v>5.2</v>
      </c>
      <c r="D46" s="2">
        <v>18719133041</v>
      </c>
      <c r="E46" s="1" t="s">
        <v>91</v>
      </c>
      <c r="F46" s="1" t="s">
        <v>153</v>
      </c>
      <c r="G46" s="2">
        <v>485</v>
      </c>
      <c r="H46" s="2">
        <v>2500</v>
      </c>
      <c r="I46" s="9">
        <v>2985</v>
      </c>
      <c r="J46" s="1" t="s">
        <v>59</v>
      </c>
      <c r="K46" s="1" t="s">
        <v>58</v>
      </c>
      <c r="L46" s="2">
        <v>8.1300000000000008</v>
      </c>
      <c r="M46" s="1" t="s">
        <v>156</v>
      </c>
      <c r="N46" s="17"/>
    </row>
    <row r="47" spans="1:15" ht="42" customHeight="1" x14ac:dyDescent="0.15">
      <c r="A47" s="1" t="s">
        <v>157</v>
      </c>
      <c r="B47" s="1" t="s">
        <v>158</v>
      </c>
      <c r="C47" s="2">
        <v>6.19</v>
      </c>
      <c r="D47" s="11">
        <v>15854813989</v>
      </c>
      <c r="E47" s="1" t="s">
        <v>159</v>
      </c>
      <c r="F47" s="11" t="s">
        <v>160</v>
      </c>
      <c r="G47" s="2">
        <v>100</v>
      </c>
      <c r="H47" s="2">
        <v>5400</v>
      </c>
      <c r="I47" s="9">
        <v>5500</v>
      </c>
      <c r="J47" s="1" t="s">
        <v>55</v>
      </c>
      <c r="K47" s="1" t="s">
        <v>58</v>
      </c>
      <c r="L47" s="2">
        <v>8.27</v>
      </c>
      <c r="M47" s="1" t="s">
        <v>161</v>
      </c>
      <c r="N47" s="17"/>
    </row>
    <row r="48" spans="1:15" ht="42" customHeight="1" x14ac:dyDescent="0.15">
      <c r="A48" s="5"/>
      <c r="B48" s="5"/>
      <c r="C48" s="5"/>
      <c r="D48" s="5"/>
      <c r="E48" s="21" t="s">
        <v>141</v>
      </c>
      <c r="F48" s="20">
        <f>G46+G47</f>
        <v>585</v>
      </c>
      <c r="G48" s="48" t="s">
        <v>45</v>
      </c>
      <c r="H48" s="49"/>
      <c r="I48" s="6">
        <f>SUM(I44:I47)</f>
        <v>11470</v>
      </c>
      <c r="J48" s="5"/>
      <c r="K48" s="50" t="s">
        <v>64</v>
      </c>
      <c r="L48" s="51"/>
      <c r="M48" s="7">
        <f>SUM(N44:N47)</f>
        <v>2985</v>
      </c>
      <c r="N48" s="8" t="s">
        <v>65</v>
      </c>
      <c r="O48" s="8">
        <f>I48-M48</f>
        <v>8485</v>
      </c>
    </row>
    <row r="49" spans="1:15" ht="42" customHeight="1" x14ac:dyDescent="0.15">
      <c r="A49" s="52">
        <v>45901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4"/>
    </row>
    <row r="50" spans="1:15" ht="42" customHeight="1" x14ac:dyDescent="0.15">
      <c r="A50" s="1" t="s">
        <v>157</v>
      </c>
      <c r="B50" s="1" t="s">
        <v>158</v>
      </c>
      <c r="C50" s="2">
        <v>6.19</v>
      </c>
      <c r="D50" s="11">
        <v>15854813989</v>
      </c>
      <c r="E50" s="1" t="s">
        <v>159</v>
      </c>
      <c r="F50" s="11" t="s">
        <v>162</v>
      </c>
      <c r="G50" s="2">
        <v>0</v>
      </c>
      <c r="H50" s="2">
        <v>5000</v>
      </c>
      <c r="I50" s="9">
        <v>5000</v>
      </c>
      <c r="J50" s="1" t="s">
        <v>59</v>
      </c>
      <c r="K50" s="1" t="s">
        <v>58</v>
      </c>
      <c r="L50" s="2">
        <v>9.1999999999999993</v>
      </c>
      <c r="M50" s="1" t="s">
        <v>167</v>
      </c>
      <c r="N50" s="17"/>
      <c r="O50" s="1" t="s">
        <v>166</v>
      </c>
    </row>
    <row r="51" spans="1:15" ht="42" customHeight="1" x14ac:dyDescent="0.15">
      <c r="A51" s="1" t="s">
        <v>88</v>
      </c>
      <c r="B51" s="1" t="s">
        <v>89</v>
      </c>
      <c r="C51" s="13">
        <v>5.2</v>
      </c>
      <c r="D51" s="2">
        <v>18719133041</v>
      </c>
      <c r="E51" s="1" t="s">
        <v>91</v>
      </c>
      <c r="F51" s="1" t="s">
        <v>168</v>
      </c>
      <c r="G51" s="2">
        <v>0</v>
      </c>
      <c r="H51" s="2">
        <v>2985</v>
      </c>
      <c r="I51" s="9">
        <v>2985</v>
      </c>
      <c r="J51" s="1" t="s">
        <v>59</v>
      </c>
      <c r="K51" s="1" t="s">
        <v>58</v>
      </c>
      <c r="L51" s="2">
        <v>9.6</v>
      </c>
      <c r="M51" s="1" t="s">
        <v>169</v>
      </c>
      <c r="N51" s="17"/>
    </row>
    <row r="52" spans="1:15" ht="42" customHeight="1" x14ac:dyDescent="0.15">
      <c r="A52" s="1" t="s">
        <v>157</v>
      </c>
      <c r="B52" s="1" t="s">
        <v>158</v>
      </c>
      <c r="C52" s="2">
        <v>6.19</v>
      </c>
      <c r="D52" s="11">
        <v>15854813989</v>
      </c>
      <c r="E52" s="1" t="s">
        <v>159</v>
      </c>
      <c r="F52" s="11" t="s">
        <v>170</v>
      </c>
      <c r="G52" s="2">
        <v>0</v>
      </c>
      <c r="H52" s="2">
        <v>5000</v>
      </c>
      <c r="I52" s="9">
        <v>5000</v>
      </c>
      <c r="J52" s="1" t="s">
        <v>59</v>
      </c>
      <c r="K52" s="1" t="s">
        <v>58</v>
      </c>
      <c r="L52" s="2">
        <v>9.14</v>
      </c>
      <c r="M52" s="1" t="s">
        <v>171</v>
      </c>
      <c r="N52" s="17"/>
      <c r="O52" s="1"/>
    </row>
    <row r="53" spans="1:15" ht="42" customHeight="1" x14ac:dyDescent="0.15">
      <c r="A53" s="36" t="s">
        <v>172</v>
      </c>
      <c r="B53" s="26" t="s">
        <v>173</v>
      </c>
      <c r="C53" s="27">
        <v>9.5</v>
      </c>
      <c r="D53" s="27">
        <v>15216819791</v>
      </c>
      <c r="E53" s="26" t="s">
        <v>174</v>
      </c>
      <c r="F53" s="26" t="s">
        <v>175</v>
      </c>
      <c r="G53" s="27">
        <v>0</v>
      </c>
      <c r="H53" s="27">
        <v>1196</v>
      </c>
      <c r="I53" s="27">
        <v>1196</v>
      </c>
      <c r="J53" s="26" t="s">
        <v>55</v>
      </c>
      <c r="K53" s="26" t="s">
        <v>151</v>
      </c>
      <c r="L53" s="27">
        <v>9.17</v>
      </c>
      <c r="M53" s="26" t="s">
        <v>179</v>
      </c>
      <c r="N53" s="27">
        <v>1196</v>
      </c>
      <c r="O53" s="26" t="s">
        <v>193</v>
      </c>
    </row>
    <row r="54" spans="1:15" ht="42" customHeight="1" x14ac:dyDescent="0.15">
      <c r="A54" s="1" t="s">
        <v>176</v>
      </c>
      <c r="B54" s="1" t="s">
        <v>176</v>
      </c>
      <c r="C54" s="2">
        <v>9.5</v>
      </c>
      <c r="D54" s="2">
        <v>13117495602</v>
      </c>
      <c r="E54" s="1" t="s">
        <v>177</v>
      </c>
      <c r="F54" s="1" t="s">
        <v>178</v>
      </c>
      <c r="G54" s="2">
        <v>0</v>
      </c>
      <c r="H54" s="2">
        <v>2990</v>
      </c>
      <c r="I54" s="9">
        <v>2990</v>
      </c>
      <c r="J54" s="1" t="s">
        <v>55</v>
      </c>
      <c r="K54" s="1" t="s">
        <v>58</v>
      </c>
      <c r="L54" s="2">
        <v>9.18</v>
      </c>
      <c r="M54" s="1" t="s">
        <v>180</v>
      </c>
      <c r="N54" s="17">
        <v>2990</v>
      </c>
      <c r="O54" s="1" t="s">
        <v>195</v>
      </c>
    </row>
    <row r="55" spans="1:15" ht="42" customHeight="1" x14ac:dyDescent="0.15">
      <c r="A55" s="1" t="s">
        <v>181</v>
      </c>
      <c r="B55" s="1" t="s">
        <v>182</v>
      </c>
      <c r="C55" s="2">
        <v>9.5</v>
      </c>
      <c r="D55" s="2">
        <v>13624833466</v>
      </c>
      <c r="E55" s="2" t="s">
        <v>183</v>
      </c>
      <c r="F55" s="1" t="s">
        <v>184</v>
      </c>
      <c r="G55" s="2">
        <v>98</v>
      </c>
      <c r="H55" s="2">
        <v>500</v>
      </c>
      <c r="I55" s="9">
        <v>598</v>
      </c>
      <c r="J55" s="1" t="s">
        <v>55</v>
      </c>
      <c r="K55" s="1" t="s">
        <v>58</v>
      </c>
      <c r="L55" s="2">
        <v>9.26</v>
      </c>
      <c r="M55" s="1" t="s">
        <v>190</v>
      </c>
      <c r="N55" s="17"/>
      <c r="O55" s="1" t="s">
        <v>163</v>
      </c>
    </row>
    <row r="56" spans="1:15" ht="42" customHeight="1" x14ac:dyDescent="0.15">
      <c r="A56" s="1" t="s">
        <v>185</v>
      </c>
      <c r="B56" s="1" t="s">
        <v>186</v>
      </c>
      <c r="C56" s="2">
        <v>9.17</v>
      </c>
      <c r="D56" s="2">
        <v>15961489855</v>
      </c>
      <c r="E56" s="1" t="s">
        <v>187</v>
      </c>
      <c r="F56" s="1" t="s">
        <v>188</v>
      </c>
      <c r="G56" s="2">
        <v>0</v>
      </c>
      <c r="H56" s="2">
        <v>0</v>
      </c>
      <c r="I56" s="9">
        <v>5980</v>
      </c>
      <c r="J56" s="1" t="s">
        <v>55</v>
      </c>
      <c r="K56" s="1" t="s">
        <v>58</v>
      </c>
      <c r="L56" s="2">
        <v>9.26</v>
      </c>
      <c r="M56" s="1" t="s">
        <v>192</v>
      </c>
      <c r="N56" s="17"/>
      <c r="O56" s="1" t="s">
        <v>165</v>
      </c>
    </row>
    <row r="57" spans="1:15" ht="42" customHeight="1" x14ac:dyDescent="0.15">
      <c r="A57" s="2" t="s">
        <v>69</v>
      </c>
      <c r="B57" s="11" t="s">
        <v>71</v>
      </c>
      <c r="C57" s="13">
        <v>5.2</v>
      </c>
      <c r="D57" s="2">
        <v>13365089262</v>
      </c>
      <c r="E57" s="1" t="s">
        <v>97</v>
      </c>
      <c r="F57" s="1" t="s">
        <v>191</v>
      </c>
      <c r="G57" s="2">
        <v>340</v>
      </c>
      <c r="H57" s="2">
        <v>11600</v>
      </c>
      <c r="I57" s="9">
        <v>11940</v>
      </c>
      <c r="J57" s="1" t="s">
        <v>59</v>
      </c>
      <c r="K57" s="1" t="s">
        <v>58</v>
      </c>
      <c r="L57" s="2">
        <v>9.2799999999999994</v>
      </c>
      <c r="M57" s="1" t="s">
        <v>194</v>
      </c>
      <c r="N57" s="10"/>
      <c r="O57" s="1" t="s">
        <v>163</v>
      </c>
    </row>
    <row r="58" spans="1:15" ht="42" customHeight="1" x14ac:dyDescent="0.15">
      <c r="A58" s="5"/>
      <c r="B58" s="5"/>
      <c r="C58" s="5"/>
      <c r="D58" s="5"/>
      <c r="E58" s="21" t="s">
        <v>141</v>
      </c>
      <c r="F58" s="20">
        <f>SUM(G51:G57)</f>
        <v>438</v>
      </c>
      <c r="G58" s="48" t="s">
        <v>45</v>
      </c>
      <c r="H58" s="49"/>
      <c r="I58" s="6">
        <f>SUM(I50:I57)</f>
        <v>35689</v>
      </c>
      <c r="J58" s="5"/>
      <c r="K58" s="50" t="s">
        <v>64</v>
      </c>
      <c r="L58" s="51"/>
      <c r="M58" s="7">
        <f>SUM(N50:N57)</f>
        <v>4186</v>
      </c>
      <c r="N58" s="8" t="s">
        <v>65</v>
      </c>
      <c r="O58" s="8">
        <f>I58-M58-700</f>
        <v>30803</v>
      </c>
    </row>
    <row r="59" spans="1:15" ht="42" customHeight="1" x14ac:dyDescent="0.15">
      <c r="A59" s="52">
        <v>45931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4"/>
    </row>
    <row r="60" spans="1:15" ht="42" customHeight="1" x14ac:dyDescent="0.15">
      <c r="A60" s="1" t="s">
        <v>176</v>
      </c>
      <c r="B60" s="1" t="s">
        <v>176</v>
      </c>
      <c r="C60" s="2">
        <v>9.5</v>
      </c>
      <c r="D60" s="2">
        <v>13117495602</v>
      </c>
      <c r="E60" s="1" t="s">
        <v>177</v>
      </c>
      <c r="F60" s="1" t="s">
        <v>197</v>
      </c>
      <c r="G60" s="2">
        <v>0</v>
      </c>
      <c r="H60" s="2">
        <v>5980</v>
      </c>
      <c r="I60" s="9">
        <v>5500</v>
      </c>
      <c r="J60" s="1" t="s">
        <v>59</v>
      </c>
      <c r="K60" s="1" t="s">
        <v>58</v>
      </c>
      <c r="L60" s="2">
        <v>10.4</v>
      </c>
      <c r="M60" s="1" t="s">
        <v>196</v>
      </c>
      <c r="N60" s="17"/>
      <c r="O60" s="1" t="s">
        <v>166</v>
      </c>
    </row>
    <row r="61" spans="1:15" ht="42" customHeight="1" x14ac:dyDescent="0.15">
      <c r="A61" s="1" t="s">
        <v>88</v>
      </c>
      <c r="B61" s="1" t="s">
        <v>89</v>
      </c>
      <c r="C61" s="13">
        <v>5.2</v>
      </c>
      <c r="D61" s="2">
        <v>18719133041</v>
      </c>
      <c r="E61" s="1" t="s">
        <v>91</v>
      </c>
      <c r="F61" s="1" t="s">
        <v>198</v>
      </c>
      <c r="G61" s="2">
        <v>440</v>
      </c>
      <c r="H61" s="2">
        <v>5500</v>
      </c>
      <c r="I61" s="9">
        <v>5940</v>
      </c>
      <c r="J61" s="1" t="s">
        <v>59</v>
      </c>
      <c r="K61" s="1" t="s">
        <v>58</v>
      </c>
      <c r="L61" s="13">
        <v>10.1</v>
      </c>
      <c r="M61" s="1" t="s">
        <v>199</v>
      </c>
      <c r="N61" s="17"/>
    </row>
    <row r="62" spans="1:15" ht="42" customHeight="1" x14ac:dyDescent="0.15">
      <c r="A62" s="1" t="s">
        <v>201</v>
      </c>
      <c r="B62" s="11" t="s">
        <v>200</v>
      </c>
      <c r="C62" s="2">
        <v>10.7</v>
      </c>
      <c r="D62" s="11">
        <v>17717421981</v>
      </c>
      <c r="E62" s="11" t="s">
        <v>203</v>
      </c>
      <c r="F62" s="11" t="s">
        <v>202</v>
      </c>
      <c r="G62" s="2">
        <v>0</v>
      </c>
      <c r="H62" s="2">
        <v>0</v>
      </c>
      <c r="I62" s="9">
        <v>598</v>
      </c>
      <c r="J62" s="1" t="s">
        <v>55</v>
      </c>
      <c r="K62" s="1" t="s">
        <v>58</v>
      </c>
      <c r="L62" s="2">
        <v>10.130000000000001</v>
      </c>
      <c r="M62" s="1" t="s">
        <v>204</v>
      </c>
      <c r="N62" s="17"/>
      <c r="O62" s="1" t="s">
        <v>205</v>
      </c>
    </row>
    <row r="63" spans="1:15" ht="42" customHeight="1" x14ac:dyDescent="0.15">
      <c r="A63" s="1" t="s">
        <v>206</v>
      </c>
      <c r="B63" s="1" t="s">
        <v>207</v>
      </c>
      <c r="C63" s="2">
        <v>10.7</v>
      </c>
      <c r="D63" s="2">
        <v>19974174577</v>
      </c>
      <c r="E63" s="1" t="s">
        <v>209</v>
      </c>
      <c r="F63" s="1" t="s">
        <v>197</v>
      </c>
      <c r="G63" s="2">
        <v>0</v>
      </c>
      <c r="H63" s="2">
        <v>0</v>
      </c>
      <c r="I63" s="9">
        <v>8970</v>
      </c>
      <c r="J63" s="1" t="s">
        <v>55</v>
      </c>
      <c r="K63" s="1" t="s">
        <v>58</v>
      </c>
      <c r="L63" s="2">
        <v>10.15</v>
      </c>
      <c r="M63" s="1" t="s">
        <v>208</v>
      </c>
      <c r="N63" s="17"/>
    </row>
    <row r="64" spans="1:15" ht="42" customHeight="1" x14ac:dyDescent="0.15">
      <c r="A64" s="1" t="s">
        <v>213</v>
      </c>
      <c r="B64" s="1" t="s">
        <v>212</v>
      </c>
      <c r="C64" s="2">
        <v>10.7</v>
      </c>
      <c r="D64" s="2">
        <v>18811670915</v>
      </c>
      <c r="E64" s="1" t="s">
        <v>211</v>
      </c>
      <c r="F64" s="1" t="s">
        <v>175</v>
      </c>
      <c r="G64" s="2">
        <v>0</v>
      </c>
      <c r="H64" s="2">
        <v>0</v>
      </c>
      <c r="I64" s="9">
        <v>1196</v>
      </c>
      <c r="J64" s="1" t="s">
        <v>55</v>
      </c>
      <c r="K64" s="1" t="s">
        <v>58</v>
      </c>
      <c r="L64" s="2">
        <v>10.27</v>
      </c>
      <c r="M64" s="2" t="s">
        <v>210</v>
      </c>
      <c r="N64" s="17"/>
      <c r="O64" s="1" t="s">
        <v>165</v>
      </c>
    </row>
    <row r="65" spans="1:15" ht="42" customHeight="1" x14ac:dyDescent="0.15">
      <c r="A65" s="1" t="s">
        <v>214</v>
      </c>
      <c r="B65" s="1" t="s">
        <v>217</v>
      </c>
      <c r="C65" s="2">
        <v>7.9</v>
      </c>
      <c r="D65" s="2">
        <v>13936291792</v>
      </c>
      <c r="E65" s="2" t="s">
        <v>216</v>
      </c>
      <c r="F65" s="1" t="s">
        <v>215</v>
      </c>
      <c r="G65" s="2">
        <v>200</v>
      </c>
      <c r="H65" s="2">
        <v>2192</v>
      </c>
      <c r="I65" s="9">
        <v>2392</v>
      </c>
      <c r="J65" s="1" t="s">
        <v>59</v>
      </c>
      <c r="K65" s="1" t="s">
        <v>58</v>
      </c>
      <c r="L65" s="13">
        <v>10.3</v>
      </c>
      <c r="M65" s="2" t="s">
        <v>222</v>
      </c>
      <c r="N65" s="17"/>
      <c r="O65" s="1" t="s">
        <v>236</v>
      </c>
    </row>
    <row r="66" spans="1:15" ht="42" customHeight="1" x14ac:dyDescent="0.15">
      <c r="A66" s="1" t="s">
        <v>218</v>
      </c>
      <c r="B66" s="1" t="s">
        <v>219</v>
      </c>
      <c r="C66" s="2">
        <v>7.22</v>
      </c>
      <c r="D66" s="2">
        <v>15133750948</v>
      </c>
      <c r="E66" s="1" t="s">
        <v>223</v>
      </c>
      <c r="F66" s="1" t="s">
        <v>220</v>
      </c>
      <c r="G66" s="2">
        <v>0</v>
      </c>
      <c r="H66" s="2">
        <v>0</v>
      </c>
      <c r="I66" s="9">
        <v>2392</v>
      </c>
      <c r="J66" s="1" t="s">
        <v>59</v>
      </c>
      <c r="K66" s="1" t="s">
        <v>58</v>
      </c>
      <c r="L66" s="13">
        <v>10.3</v>
      </c>
      <c r="M66" s="1" t="s">
        <v>221</v>
      </c>
      <c r="N66" s="17"/>
      <c r="O66" s="1" t="s">
        <v>165</v>
      </c>
    </row>
    <row r="67" spans="1:15" ht="42" customHeight="1" x14ac:dyDescent="0.15">
      <c r="A67" s="5"/>
      <c r="B67" s="5"/>
      <c r="C67" s="5"/>
      <c r="D67" s="5"/>
      <c r="E67" s="21" t="s">
        <v>141</v>
      </c>
      <c r="F67" s="20">
        <f>SUM(G60:G66)</f>
        <v>640</v>
      </c>
      <c r="G67" s="48" t="s">
        <v>45</v>
      </c>
      <c r="H67" s="49"/>
      <c r="I67" s="6">
        <f>SUM(I60:I66)</f>
        <v>26988</v>
      </c>
      <c r="J67" s="5"/>
      <c r="K67" s="50" t="s">
        <v>64</v>
      </c>
      <c r="L67" s="51"/>
      <c r="M67" s="7">
        <f>SUM(N57:N66)</f>
        <v>0</v>
      </c>
      <c r="N67" s="8" t="s">
        <v>65</v>
      </c>
      <c r="O67" s="8">
        <f>I67-M67</f>
        <v>26988</v>
      </c>
    </row>
    <row r="68" spans="1:15" ht="42" customHeight="1" x14ac:dyDescent="0.15">
      <c r="A68" s="52">
        <v>45962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4"/>
    </row>
    <row r="69" spans="1:15" ht="42" customHeight="1" x14ac:dyDescent="0.15">
      <c r="A69" s="1" t="s">
        <v>224</v>
      </c>
      <c r="B69" s="1" t="s">
        <v>224</v>
      </c>
      <c r="C69" s="13">
        <v>10.3</v>
      </c>
      <c r="D69" s="2">
        <v>13587128717</v>
      </c>
      <c r="E69" s="1" t="s">
        <v>225</v>
      </c>
      <c r="F69" s="1" t="s">
        <v>226</v>
      </c>
      <c r="G69" s="2">
        <v>1794</v>
      </c>
      <c r="H69" s="2">
        <v>0</v>
      </c>
      <c r="I69" s="9">
        <v>1794</v>
      </c>
      <c r="J69" s="1" t="s">
        <v>227</v>
      </c>
      <c r="K69" s="1" t="s">
        <v>58</v>
      </c>
      <c r="L69" s="2">
        <v>11.9</v>
      </c>
      <c r="M69" s="2" t="s">
        <v>243</v>
      </c>
      <c r="N69" s="17"/>
    </row>
    <row r="70" spans="1:15" ht="42" customHeight="1" x14ac:dyDescent="0.15">
      <c r="A70" s="1" t="s">
        <v>229</v>
      </c>
      <c r="B70" s="2" t="s">
        <v>228</v>
      </c>
      <c r="C70" s="13">
        <v>10.3</v>
      </c>
      <c r="D70" s="2">
        <v>13503964984</v>
      </c>
      <c r="E70" s="1" t="s">
        <v>230</v>
      </c>
      <c r="F70" s="2" t="s">
        <v>231</v>
      </c>
      <c r="G70" s="2">
        <v>980</v>
      </c>
      <c r="H70" s="2">
        <v>5000</v>
      </c>
      <c r="I70" s="9">
        <v>5980</v>
      </c>
      <c r="J70" s="1" t="s">
        <v>227</v>
      </c>
      <c r="K70" s="1" t="s">
        <v>151</v>
      </c>
      <c r="L70" s="2">
        <v>11.9</v>
      </c>
      <c r="M70" s="1" t="s">
        <v>242</v>
      </c>
      <c r="N70" s="17">
        <v>5980</v>
      </c>
      <c r="O70" s="1" t="s">
        <v>247</v>
      </c>
    </row>
    <row r="71" spans="1:15" ht="42" customHeight="1" x14ac:dyDescent="0.15">
      <c r="A71" s="1" t="s">
        <v>232</v>
      </c>
      <c r="B71" s="1" t="s">
        <v>232</v>
      </c>
      <c r="C71" s="2">
        <v>10.25</v>
      </c>
      <c r="D71" s="2">
        <v>13857029683</v>
      </c>
      <c r="E71" s="2" t="s">
        <v>234</v>
      </c>
      <c r="F71" s="1" t="s">
        <v>235</v>
      </c>
      <c r="G71" s="2">
        <v>190</v>
      </c>
      <c r="H71" s="2">
        <v>2800</v>
      </c>
      <c r="I71" s="9">
        <v>2990</v>
      </c>
      <c r="J71" s="1" t="s">
        <v>233</v>
      </c>
      <c r="K71" s="1" t="s">
        <v>58</v>
      </c>
      <c r="L71" s="2">
        <v>11.9</v>
      </c>
      <c r="M71" s="2" t="s">
        <v>244</v>
      </c>
      <c r="N71" s="17"/>
      <c r="O71" s="1" t="s">
        <v>164</v>
      </c>
    </row>
    <row r="72" spans="1:15" ht="42" customHeight="1" x14ac:dyDescent="0.15">
      <c r="A72" s="2" t="s">
        <v>237</v>
      </c>
      <c r="B72" s="2" t="s">
        <v>237</v>
      </c>
      <c r="C72" s="2">
        <v>10.25</v>
      </c>
      <c r="D72" s="2">
        <v>13723089202</v>
      </c>
      <c r="E72" s="2" t="s">
        <v>239</v>
      </c>
      <c r="F72" s="2" t="s">
        <v>240</v>
      </c>
      <c r="G72" s="2">
        <v>0</v>
      </c>
      <c r="H72" s="2">
        <v>0</v>
      </c>
      <c r="I72" s="9">
        <v>11960</v>
      </c>
      <c r="J72" s="1" t="s">
        <v>233</v>
      </c>
      <c r="K72" s="1" t="s">
        <v>58</v>
      </c>
      <c r="L72" s="13">
        <v>11.1</v>
      </c>
      <c r="M72" s="1" t="s">
        <v>246</v>
      </c>
      <c r="N72" s="17"/>
      <c r="O72" s="1" t="s">
        <v>238</v>
      </c>
    </row>
    <row r="73" spans="1:15" ht="42" customHeight="1" x14ac:dyDescent="0.15">
      <c r="A73" s="1" t="s">
        <v>218</v>
      </c>
      <c r="B73" s="1" t="s">
        <v>219</v>
      </c>
      <c r="C73" s="2">
        <v>7.22</v>
      </c>
      <c r="D73" s="2">
        <v>15133750948</v>
      </c>
      <c r="E73" s="1" t="s">
        <v>223</v>
      </c>
      <c r="F73" s="1" t="s">
        <v>241</v>
      </c>
      <c r="G73" s="2">
        <v>0</v>
      </c>
      <c r="H73" s="2">
        <v>0</v>
      </c>
      <c r="I73" s="9">
        <v>2990</v>
      </c>
      <c r="J73" s="1" t="s">
        <v>59</v>
      </c>
      <c r="K73" s="1" t="s">
        <v>58</v>
      </c>
      <c r="L73" s="13">
        <v>11.1</v>
      </c>
      <c r="M73" s="1" t="s">
        <v>245</v>
      </c>
      <c r="N73" s="17"/>
      <c r="O73" s="1" t="s">
        <v>165</v>
      </c>
    </row>
    <row r="74" spans="1:15" ht="42" customHeight="1" x14ac:dyDescent="0.15">
      <c r="A74" s="2" t="s">
        <v>237</v>
      </c>
      <c r="B74" s="2" t="s">
        <v>237</v>
      </c>
      <c r="C74" s="2">
        <v>10.25</v>
      </c>
      <c r="D74" s="2">
        <v>13723089202</v>
      </c>
      <c r="E74" s="2" t="s">
        <v>239</v>
      </c>
      <c r="F74" s="1" t="s">
        <v>248</v>
      </c>
      <c r="G74" s="2">
        <v>0</v>
      </c>
      <c r="H74" s="2">
        <v>0</v>
      </c>
      <c r="I74" s="9">
        <v>5440</v>
      </c>
      <c r="J74" s="1" t="s">
        <v>233</v>
      </c>
      <c r="K74" s="1" t="s">
        <v>58</v>
      </c>
      <c r="L74" s="13">
        <v>11.12</v>
      </c>
      <c r="M74" s="1" t="s">
        <v>254</v>
      </c>
      <c r="N74" s="17"/>
      <c r="O74" s="1" t="s">
        <v>238</v>
      </c>
    </row>
    <row r="75" spans="1:15" ht="42" customHeight="1" x14ac:dyDescent="0.15">
      <c r="A75" s="1" t="s">
        <v>251</v>
      </c>
      <c r="B75" s="2" t="s">
        <v>250</v>
      </c>
      <c r="C75" s="2">
        <v>10.25</v>
      </c>
      <c r="D75" s="2">
        <v>13520453315</v>
      </c>
      <c r="E75" s="1" t="s">
        <v>252</v>
      </c>
      <c r="F75" s="2" t="s">
        <v>249</v>
      </c>
      <c r="G75" s="2">
        <v>0</v>
      </c>
      <c r="H75" s="2">
        <v>0</v>
      </c>
      <c r="I75" s="9">
        <v>1100</v>
      </c>
      <c r="J75" s="1" t="s">
        <v>233</v>
      </c>
      <c r="K75" s="1" t="s">
        <v>58</v>
      </c>
      <c r="L75" s="2">
        <v>11.13</v>
      </c>
      <c r="M75" s="1" t="s">
        <v>255</v>
      </c>
      <c r="N75" s="17"/>
      <c r="O75" s="1" t="s">
        <v>253</v>
      </c>
    </row>
    <row r="76" spans="1:15" ht="42" customHeight="1" x14ac:dyDescent="0.15">
      <c r="A76" s="1" t="s">
        <v>201</v>
      </c>
      <c r="B76" s="11" t="s">
        <v>201</v>
      </c>
      <c r="C76" s="2">
        <v>10.7</v>
      </c>
      <c r="D76" s="11">
        <v>17717421981</v>
      </c>
      <c r="E76" s="11" t="s">
        <v>203</v>
      </c>
      <c r="F76" s="11" t="s">
        <v>202</v>
      </c>
      <c r="G76" s="2">
        <v>0</v>
      </c>
      <c r="H76" s="2">
        <v>0</v>
      </c>
      <c r="I76" s="9">
        <v>598</v>
      </c>
      <c r="J76" s="1" t="s">
        <v>59</v>
      </c>
      <c r="K76" s="1" t="s">
        <v>58</v>
      </c>
      <c r="L76" s="2">
        <v>11.13</v>
      </c>
      <c r="M76" s="1" t="s">
        <v>246</v>
      </c>
      <c r="N76" s="17"/>
      <c r="O76" s="1" t="s">
        <v>205</v>
      </c>
    </row>
    <row r="77" spans="1:15" ht="42" customHeight="1" x14ac:dyDescent="0.15">
      <c r="A77" s="36" t="s">
        <v>256</v>
      </c>
      <c r="B77" s="28" t="s">
        <v>257</v>
      </c>
      <c r="C77" s="30">
        <v>11.1</v>
      </c>
      <c r="D77" s="27">
        <v>19021845866</v>
      </c>
      <c r="E77" s="27" t="s">
        <v>258</v>
      </c>
      <c r="F77" s="26" t="s">
        <v>263</v>
      </c>
      <c r="G77" s="27">
        <v>0</v>
      </c>
      <c r="H77" s="27">
        <v>0</v>
      </c>
      <c r="I77" s="27">
        <v>1196</v>
      </c>
      <c r="J77" s="26" t="s">
        <v>55</v>
      </c>
      <c r="K77" s="26" t="s">
        <v>151</v>
      </c>
      <c r="L77" s="27">
        <v>11.15</v>
      </c>
      <c r="M77" s="26" t="s">
        <v>271</v>
      </c>
      <c r="N77" s="27">
        <v>1196</v>
      </c>
      <c r="O77" s="26"/>
    </row>
    <row r="78" spans="1:15" ht="42" customHeight="1" x14ac:dyDescent="0.15">
      <c r="A78" s="1" t="s">
        <v>260</v>
      </c>
      <c r="B78" s="1" t="s">
        <v>259</v>
      </c>
      <c r="C78" s="13">
        <v>11.1</v>
      </c>
      <c r="D78" s="2">
        <v>13831569055</v>
      </c>
      <c r="E78" s="1" t="s">
        <v>261</v>
      </c>
      <c r="F78" s="1" t="s">
        <v>262</v>
      </c>
      <c r="G78" s="2">
        <v>98</v>
      </c>
      <c r="H78" s="2">
        <v>500</v>
      </c>
      <c r="I78" s="9">
        <v>598</v>
      </c>
      <c r="J78" s="1" t="s">
        <v>55</v>
      </c>
      <c r="K78" s="1" t="s">
        <v>58</v>
      </c>
      <c r="L78" s="2">
        <v>11.16</v>
      </c>
      <c r="M78" s="1" t="s">
        <v>275</v>
      </c>
      <c r="N78" s="17"/>
      <c r="O78" s="2" t="s">
        <v>304</v>
      </c>
    </row>
    <row r="79" spans="1:15" ht="42" customHeight="1" x14ac:dyDescent="0.15">
      <c r="A79" s="36" t="s">
        <v>265</v>
      </c>
      <c r="B79" s="26" t="s">
        <v>264</v>
      </c>
      <c r="C79" s="30">
        <v>11.1</v>
      </c>
      <c r="D79" s="27">
        <v>13901768431</v>
      </c>
      <c r="E79" s="26" t="s">
        <v>266</v>
      </c>
      <c r="F79" s="26" t="s">
        <v>267</v>
      </c>
      <c r="G79" s="27">
        <v>0</v>
      </c>
      <c r="H79" s="27">
        <v>0</v>
      </c>
      <c r="I79" s="27">
        <v>1196</v>
      </c>
      <c r="J79" s="26" t="s">
        <v>55</v>
      </c>
      <c r="K79" s="26" t="s">
        <v>151</v>
      </c>
      <c r="L79" s="27">
        <v>11.16</v>
      </c>
      <c r="M79" s="26" t="s">
        <v>274</v>
      </c>
      <c r="N79" s="27">
        <v>1196</v>
      </c>
      <c r="O79" s="27"/>
    </row>
    <row r="80" spans="1:15" ht="42" customHeight="1" x14ac:dyDescent="0.15">
      <c r="A80" s="36" t="s">
        <v>272</v>
      </c>
      <c r="B80" s="26" t="s">
        <v>268</v>
      </c>
      <c r="C80" s="30">
        <v>11.1</v>
      </c>
      <c r="D80" s="27">
        <v>13471408110</v>
      </c>
      <c r="E80" s="28" t="s">
        <v>269</v>
      </c>
      <c r="F80" s="26" t="s">
        <v>270</v>
      </c>
      <c r="G80" s="27">
        <v>0</v>
      </c>
      <c r="H80" s="27">
        <v>0</v>
      </c>
      <c r="I80" s="27">
        <v>5980</v>
      </c>
      <c r="J80" s="26" t="s">
        <v>55</v>
      </c>
      <c r="K80" s="26" t="s">
        <v>151</v>
      </c>
      <c r="L80" s="27">
        <v>11.16</v>
      </c>
      <c r="M80" s="26" t="s">
        <v>273</v>
      </c>
      <c r="N80" s="27">
        <v>5980</v>
      </c>
      <c r="O80" s="27"/>
    </row>
    <row r="81" spans="1:15" ht="42" customHeight="1" x14ac:dyDescent="0.15">
      <c r="A81" s="36" t="s">
        <v>277</v>
      </c>
      <c r="B81" s="27" t="s">
        <v>276</v>
      </c>
      <c r="C81" s="27">
        <v>10.7</v>
      </c>
      <c r="D81" s="27">
        <v>18797565171</v>
      </c>
      <c r="E81" s="27" t="s">
        <v>278</v>
      </c>
      <c r="F81" s="26" t="s">
        <v>279</v>
      </c>
      <c r="G81" s="27">
        <v>0</v>
      </c>
      <c r="H81" s="27">
        <v>0</v>
      </c>
      <c r="I81" s="27">
        <v>4950</v>
      </c>
      <c r="J81" s="26" t="s">
        <v>55</v>
      </c>
      <c r="K81" s="26" t="s">
        <v>151</v>
      </c>
      <c r="L81" s="27">
        <v>11.21</v>
      </c>
      <c r="M81" s="27"/>
      <c r="N81" s="27">
        <v>4950</v>
      </c>
      <c r="O81" s="26"/>
    </row>
    <row r="82" spans="1:15" ht="42" customHeight="1" x14ac:dyDescent="0.15">
      <c r="A82" s="36" t="s">
        <v>305</v>
      </c>
      <c r="B82" s="27" t="s">
        <v>280</v>
      </c>
      <c r="C82" s="27"/>
      <c r="D82" s="27"/>
      <c r="E82" s="27"/>
      <c r="F82" s="27" t="s">
        <v>281</v>
      </c>
      <c r="G82" s="27">
        <v>500</v>
      </c>
      <c r="H82" s="27">
        <v>8000</v>
      </c>
      <c r="I82" s="27">
        <v>8500</v>
      </c>
      <c r="J82" s="26" t="s">
        <v>59</v>
      </c>
      <c r="K82" s="26" t="s">
        <v>151</v>
      </c>
      <c r="L82" s="27">
        <v>11.25</v>
      </c>
      <c r="M82" s="26" t="s">
        <v>295</v>
      </c>
      <c r="N82" s="27">
        <v>8500</v>
      </c>
      <c r="O82" s="26" t="s">
        <v>296</v>
      </c>
    </row>
    <row r="83" spans="1:15" ht="42" customHeight="1" x14ac:dyDescent="0.15">
      <c r="A83" s="36" t="s">
        <v>282</v>
      </c>
      <c r="B83" s="26" t="s">
        <v>283</v>
      </c>
      <c r="C83" s="30">
        <v>11.2</v>
      </c>
      <c r="D83" s="27">
        <v>19905353911</v>
      </c>
      <c r="E83" s="26" t="s">
        <v>284</v>
      </c>
      <c r="F83" s="26" t="s">
        <v>285</v>
      </c>
      <c r="G83" s="27">
        <v>500</v>
      </c>
      <c r="H83" s="27">
        <v>59300</v>
      </c>
      <c r="I83" s="27">
        <v>59800</v>
      </c>
      <c r="J83" s="26" t="s">
        <v>55</v>
      </c>
      <c r="K83" s="26" t="s">
        <v>61</v>
      </c>
      <c r="L83" s="27">
        <v>11.25</v>
      </c>
      <c r="M83" s="26" t="s">
        <v>292</v>
      </c>
      <c r="N83" s="27">
        <v>59800</v>
      </c>
      <c r="O83" s="26" t="s">
        <v>314</v>
      </c>
    </row>
    <row r="84" spans="1:15" ht="42" customHeight="1" x14ac:dyDescent="0.15">
      <c r="A84" s="1" t="s">
        <v>286</v>
      </c>
      <c r="B84" s="1" t="s">
        <v>286</v>
      </c>
      <c r="C84" s="13">
        <v>11.2</v>
      </c>
      <c r="D84" s="2">
        <v>15167238165</v>
      </c>
      <c r="E84" s="1" t="s">
        <v>288</v>
      </c>
      <c r="F84" s="2" t="s">
        <v>287</v>
      </c>
      <c r="G84" s="2">
        <v>1794</v>
      </c>
      <c r="H84" s="2">
        <v>0</v>
      </c>
      <c r="I84" s="9">
        <v>1794</v>
      </c>
      <c r="J84" s="1" t="s">
        <v>55</v>
      </c>
      <c r="K84" s="1" t="s">
        <v>58</v>
      </c>
      <c r="L84" s="2">
        <v>11.25</v>
      </c>
      <c r="M84" s="1" t="s">
        <v>293</v>
      </c>
      <c r="N84" s="17"/>
      <c r="O84" s="1" t="s">
        <v>303</v>
      </c>
    </row>
    <row r="85" spans="1:15" ht="42" customHeight="1" x14ac:dyDescent="0.15">
      <c r="A85" s="1" t="s">
        <v>290</v>
      </c>
      <c r="B85" s="1" t="s">
        <v>290</v>
      </c>
      <c r="C85" s="13">
        <v>11.1</v>
      </c>
      <c r="D85" s="2">
        <v>17752913028</v>
      </c>
      <c r="E85" s="1" t="s">
        <v>291</v>
      </c>
      <c r="F85" s="1" t="s">
        <v>262</v>
      </c>
      <c r="G85" s="2">
        <v>598</v>
      </c>
      <c r="H85" s="2">
        <v>0</v>
      </c>
      <c r="I85" s="9">
        <v>598</v>
      </c>
      <c r="J85" s="1" t="s">
        <v>55</v>
      </c>
      <c r="K85" s="1" t="s">
        <v>58</v>
      </c>
      <c r="L85" s="2">
        <v>11.25</v>
      </c>
      <c r="M85" s="1" t="s">
        <v>294</v>
      </c>
      <c r="N85" s="17"/>
      <c r="O85" s="1" t="s">
        <v>302</v>
      </c>
    </row>
    <row r="86" spans="1:15" ht="42" customHeight="1" x14ac:dyDescent="0.15">
      <c r="A86" s="1" t="s">
        <v>290</v>
      </c>
      <c r="B86" s="2" t="s">
        <v>289</v>
      </c>
      <c r="C86" s="13">
        <v>11.1</v>
      </c>
      <c r="D86" s="2">
        <v>17752913028</v>
      </c>
      <c r="E86" s="1" t="s">
        <v>291</v>
      </c>
      <c r="F86" s="1" t="s">
        <v>297</v>
      </c>
      <c r="G86" s="2">
        <v>980</v>
      </c>
      <c r="H86" s="2">
        <v>5000</v>
      </c>
      <c r="I86" s="9">
        <v>5980</v>
      </c>
      <c r="J86" s="1" t="s">
        <v>59</v>
      </c>
      <c r="K86" s="1" t="s">
        <v>58</v>
      </c>
      <c r="L86" s="13">
        <v>11.3</v>
      </c>
      <c r="M86" s="1" t="s">
        <v>301</v>
      </c>
      <c r="N86" s="17"/>
    </row>
    <row r="87" spans="1:15" ht="42" customHeight="1" x14ac:dyDescent="0.15">
      <c r="A87" s="5"/>
      <c r="B87" s="5"/>
      <c r="C87" s="5"/>
      <c r="D87" s="5"/>
      <c r="E87" s="21" t="s">
        <v>141</v>
      </c>
      <c r="F87" s="20">
        <f>SUM(G69:G80)</f>
        <v>3062</v>
      </c>
      <c r="G87" s="48" t="s">
        <v>45</v>
      </c>
      <c r="H87" s="49"/>
      <c r="I87" s="6">
        <f>SUM(I69:I86)</f>
        <v>123444</v>
      </c>
      <c r="J87" s="5"/>
      <c r="K87" s="50" t="s">
        <v>64</v>
      </c>
      <c r="L87" s="51"/>
      <c r="M87" s="7">
        <f>SUM(N69:N85)</f>
        <v>87602</v>
      </c>
      <c r="N87" s="8" t="s">
        <v>65</v>
      </c>
      <c r="O87" s="8">
        <f>I87-M87</f>
        <v>35842</v>
      </c>
    </row>
    <row r="88" spans="1:15" ht="42" customHeight="1" x14ac:dyDescent="0.15">
      <c r="A88" s="52">
        <v>45992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4"/>
    </row>
    <row r="89" spans="1:15" ht="42" customHeight="1" x14ac:dyDescent="0.15">
      <c r="A89" s="1" t="s">
        <v>298</v>
      </c>
      <c r="B89" s="1" t="s">
        <v>299</v>
      </c>
      <c r="C89" s="13">
        <v>11.2</v>
      </c>
      <c r="D89" s="2">
        <v>15983621076</v>
      </c>
      <c r="E89" s="1" t="s">
        <v>300</v>
      </c>
      <c r="F89" s="1" t="s">
        <v>226</v>
      </c>
      <c r="G89" s="2">
        <v>0</v>
      </c>
      <c r="H89" s="2">
        <v>0</v>
      </c>
      <c r="I89" s="9">
        <v>1500</v>
      </c>
      <c r="J89" s="1" t="s">
        <v>55</v>
      </c>
      <c r="K89" s="1" t="s">
        <v>58</v>
      </c>
      <c r="L89" s="2">
        <v>12.1</v>
      </c>
      <c r="M89" s="2" t="s">
        <v>310</v>
      </c>
      <c r="N89" s="17"/>
      <c r="O89" s="1" t="s">
        <v>166</v>
      </c>
    </row>
    <row r="90" spans="1:15" ht="42" customHeight="1" x14ac:dyDescent="0.15">
      <c r="A90" s="2" t="s">
        <v>280</v>
      </c>
      <c r="B90" s="1" t="s">
        <v>305</v>
      </c>
      <c r="C90" s="2">
        <v>12.4</v>
      </c>
      <c r="F90" s="1" t="s">
        <v>178</v>
      </c>
      <c r="G90" s="2">
        <v>500</v>
      </c>
      <c r="H90" s="2">
        <v>2000</v>
      </c>
      <c r="I90" s="9">
        <v>2000</v>
      </c>
      <c r="J90" s="1" t="s">
        <v>59</v>
      </c>
      <c r="K90" s="1" t="s">
        <v>58</v>
      </c>
      <c r="L90" s="2">
        <v>12.8</v>
      </c>
      <c r="M90" s="1" t="s">
        <v>312</v>
      </c>
      <c r="N90" s="17"/>
    </row>
    <row r="91" spans="1:15" ht="42" customHeight="1" x14ac:dyDescent="0.15">
      <c r="A91" s="1" t="s">
        <v>306</v>
      </c>
      <c r="B91" s="1" t="s">
        <v>307</v>
      </c>
      <c r="C91" s="13">
        <v>11.2</v>
      </c>
      <c r="D91" s="2">
        <v>13950158473</v>
      </c>
      <c r="E91" s="1" t="s">
        <v>308</v>
      </c>
      <c r="F91" s="1" t="s">
        <v>175</v>
      </c>
      <c r="G91" s="2">
        <v>100</v>
      </c>
      <c r="H91" s="2">
        <v>1000</v>
      </c>
      <c r="I91" s="9">
        <v>1100</v>
      </c>
      <c r="J91" s="1" t="s">
        <v>55</v>
      </c>
      <c r="K91" s="1" t="s">
        <v>58</v>
      </c>
      <c r="L91" s="2">
        <v>12.9</v>
      </c>
      <c r="M91" s="1" t="s">
        <v>311</v>
      </c>
      <c r="N91" s="17"/>
      <c r="O91" s="1" t="s">
        <v>315</v>
      </c>
    </row>
    <row r="92" spans="1:15" ht="42" customHeight="1" x14ac:dyDescent="0.15">
      <c r="A92" s="1" t="s">
        <v>260</v>
      </c>
      <c r="B92" s="1" t="s">
        <v>259</v>
      </c>
      <c r="C92" s="13">
        <v>11.1</v>
      </c>
      <c r="D92" s="2">
        <v>13831569055</v>
      </c>
      <c r="E92" s="1" t="s">
        <v>261</v>
      </c>
      <c r="F92" s="1" t="s">
        <v>309</v>
      </c>
      <c r="G92" s="2">
        <v>0</v>
      </c>
      <c r="H92" s="2">
        <v>0</v>
      </c>
      <c r="I92" s="9">
        <v>1794</v>
      </c>
      <c r="J92" s="1" t="s">
        <v>59</v>
      </c>
      <c r="K92" s="1" t="s">
        <v>58</v>
      </c>
      <c r="L92" s="13">
        <v>12.1</v>
      </c>
      <c r="M92" s="1" t="s">
        <v>313</v>
      </c>
      <c r="N92" s="17"/>
      <c r="O92" s="2" t="s">
        <v>304</v>
      </c>
    </row>
    <row r="93" spans="1:15" ht="42" customHeight="1" x14ac:dyDescent="0.15">
      <c r="A93" s="1" t="s">
        <v>316</v>
      </c>
      <c r="B93" s="1" t="s">
        <v>319</v>
      </c>
      <c r="C93" s="2">
        <v>12.9</v>
      </c>
      <c r="D93" s="2">
        <v>15544846112</v>
      </c>
      <c r="E93" s="1" t="s">
        <v>317</v>
      </c>
      <c r="F93" s="1" t="s">
        <v>262</v>
      </c>
      <c r="G93" s="2">
        <v>598</v>
      </c>
      <c r="H93" s="2">
        <v>0</v>
      </c>
      <c r="I93" s="9">
        <v>598</v>
      </c>
      <c r="J93" s="1" t="s">
        <v>55</v>
      </c>
      <c r="K93" s="1" t="s">
        <v>58</v>
      </c>
      <c r="L93" s="2">
        <v>12.17</v>
      </c>
      <c r="M93" s="1" t="s">
        <v>322</v>
      </c>
      <c r="N93" s="17"/>
      <c r="O93" s="1" t="s">
        <v>325</v>
      </c>
    </row>
    <row r="94" spans="1:15" ht="42" customHeight="1" x14ac:dyDescent="0.15">
      <c r="A94" s="42" t="s">
        <v>318</v>
      </c>
      <c r="B94" s="33" t="s">
        <v>320</v>
      </c>
      <c r="C94" s="34">
        <v>12.9</v>
      </c>
      <c r="D94" s="34">
        <v>13982889818</v>
      </c>
      <c r="E94" s="33" t="s">
        <v>324</v>
      </c>
      <c r="F94" s="33" t="s">
        <v>321</v>
      </c>
      <c r="G94" s="34">
        <v>0</v>
      </c>
      <c r="H94" s="34">
        <v>0</v>
      </c>
      <c r="I94" s="34">
        <v>5980</v>
      </c>
      <c r="J94" s="33" t="s">
        <v>55</v>
      </c>
      <c r="K94" s="33" t="s">
        <v>58</v>
      </c>
      <c r="L94" s="34">
        <v>12.19</v>
      </c>
      <c r="M94" s="34" t="s">
        <v>323</v>
      </c>
      <c r="N94" s="34"/>
      <c r="O94" s="33" t="s">
        <v>366</v>
      </c>
    </row>
    <row r="95" spans="1:15" ht="42" customHeight="1" x14ac:dyDescent="0.15">
      <c r="A95" s="1" t="s">
        <v>326</v>
      </c>
      <c r="B95" s="1" t="s">
        <v>327</v>
      </c>
      <c r="C95" s="2">
        <v>12.9</v>
      </c>
      <c r="D95" s="2">
        <v>15975504074</v>
      </c>
      <c r="E95" s="1" t="s">
        <v>328</v>
      </c>
      <c r="F95" s="1" t="s">
        <v>329</v>
      </c>
      <c r="G95" s="2">
        <v>1000</v>
      </c>
      <c r="H95" s="2">
        <v>10960</v>
      </c>
      <c r="I95" s="25">
        <v>11960</v>
      </c>
      <c r="J95" s="1" t="s">
        <v>55</v>
      </c>
      <c r="K95" s="1" t="s">
        <v>58</v>
      </c>
      <c r="L95" s="2">
        <v>12.25</v>
      </c>
      <c r="M95" s="2" t="s">
        <v>330</v>
      </c>
      <c r="N95" s="17"/>
      <c r="O95" s="1" t="s">
        <v>164</v>
      </c>
    </row>
    <row r="96" spans="1:15" ht="42" customHeight="1" x14ac:dyDescent="0.15">
      <c r="A96" s="1" t="s">
        <v>306</v>
      </c>
      <c r="B96" s="1" t="s">
        <v>307</v>
      </c>
      <c r="C96" s="13">
        <v>11.2</v>
      </c>
      <c r="D96" s="2">
        <v>13950158473</v>
      </c>
      <c r="E96" s="1" t="s">
        <v>308</v>
      </c>
      <c r="F96" s="1" t="s">
        <v>175</v>
      </c>
      <c r="G96" s="2">
        <v>200</v>
      </c>
      <c r="H96" s="2">
        <v>2500</v>
      </c>
      <c r="I96" s="9">
        <v>2700</v>
      </c>
      <c r="J96" s="1" t="s">
        <v>59</v>
      </c>
      <c r="K96" s="1" t="s">
        <v>58</v>
      </c>
      <c r="L96" s="2">
        <v>12.25</v>
      </c>
      <c r="M96" s="1" t="s">
        <v>331</v>
      </c>
      <c r="N96" s="17"/>
      <c r="O96" s="1"/>
    </row>
    <row r="97" spans="1:15" ht="42" customHeight="1" x14ac:dyDescent="0.15">
      <c r="A97" s="5"/>
      <c r="B97" s="5"/>
      <c r="C97" s="5"/>
      <c r="D97" s="5"/>
      <c r="E97" s="21" t="s">
        <v>141</v>
      </c>
      <c r="F97" s="20">
        <f>SUM(G76:G87)</f>
        <v>4470</v>
      </c>
      <c r="G97" s="48" t="s">
        <v>45</v>
      </c>
      <c r="H97" s="49"/>
      <c r="I97" s="6">
        <f>SUM(I89:I96)</f>
        <v>27632</v>
      </c>
      <c r="J97" s="5"/>
      <c r="K97" s="50" t="s">
        <v>64</v>
      </c>
      <c r="L97" s="51"/>
      <c r="M97" s="7">
        <f>SUM(N89:N94)</f>
        <v>0</v>
      </c>
      <c r="N97" s="8" t="s">
        <v>65</v>
      </c>
      <c r="O97" s="8">
        <f>I97-M97</f>
        <v>27632</v>
      </c>
    </row>
    <row r="98" spans="1:15" ht="42" customHeight="1" x14ac:dyDescent="0.15">
      <c r="A98" s="52">
        <v>46023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4"/>
    </row>
    <row r="99" spans="1:15" ht="42" customHeight="1" x14ac:dyDescent="0.15">
      <c r="A99" s="38" t="s">
        <v>237</v>
      </c>
      <c r="B99" s="27" t="s">
        <v>237</v>
      </c>
      <c r="C99" s="27">
        <v>10.25</v>
      </c>
      <c r="D99" s="27">
        <v>13723089202</v>
      </c>
      <c r="E99" s="27" t="s">
        <v>239</v>
      </c>
      <c r="F99" s="26" t="s">
        <v>332</v>
      </c>
      <c r="G99" s="27">
        <v>0</v>
      </c>
      <c r="H99" s="27">
        <v>0</v>
      </c>
      <c r="I99" s="27">
        <v>5000</v>
      </c>
      <c r="J99" s="26" t="s">
        <v>59</v>
      </c>
      <c r="K99" s="26" t="s">
        <v>151</v>
      </c>
      <c r="L99" s="29">
        <v>1.2</v>
      </c>
      <c r="M99" s="26" t="s">
        <v>352</v>
      </c>
      <c r="N99" s="27">
        <v>5000</v>
      </c>
      <c r="O99" s="26" t="s">
        <v>238</v>
      </c>
    </row>
    <row r="100" spans="1:15" ht="42" customHeight="1" x14ac:dyDescent="0.15">
      <c r="A100" s="1" t="s">
        <v>333</v>
      </c>
      <c r="B100" s="11" t="s">
        <v>334</v>
      </c>
      <c r="C100" s="2">
        <v>12.9</v>
      </c>
      <c r="D100" s="2">
        <v>13324586382</v>
      </c>
      <c r="E100" s="1" t="s">
        <v>335</v>
      </c>
      <c r="F100" s="1" t="s">
        <v>235</v>
      </c>
      <c r="G100" s="2">
        <v>0</v>
      </c>
      <c r="H100" s="2">
        <v>0</v>
      </c>
      <c r="I100" s="9">
        <v>2990</v>
      </c>
      <c r="J100" s="1" t="s">
        <v>55</v>
      </c>
      <c r="K100" s="1" t="s">
        <v>58</v>
      </c>
      <c r="L100" s="2">
        <v>1.3</v>
      </c>
      <c r="M100" s="1" t="s">
        <v>336</v>
      </c>
      <c r="N100" s="17"/>
      <c r="O100" s="1" t="s">
        <v>164</v>
      </c>
    </row>
    <row r="101" spans="1:15" ht="42" customHeight="1" x14ac:dyDescent="0.15">
      <c r="A101" s="1" t="s">
        <v>337</v>
      </c>
      <c r="B101" s="1" t="s">
        <v>337</v>
      </c>
      <c r="C101" s="1">
        <v>12.9</v>
      </c>
      <c r="D101" s="2">
        <v>13613626065</v>
      </c>
      <c r="E101" s="1" t="s">
        <v>338</v>
      </c>
      <c r="F101" s="1" t="s">
        <v>329</v>
      </c>
      <c r="G101" s="2">
        <v>500</v>
      </c>
      <c r="H101" s="2">
        <v>0</v>
      </c>
      <c r="I101" s="9">
        <v>8970</v>
      </c>
      <c r="J101" s="1" t="s">
        <v>55</v>
      </c>
      <c r="K101" s="1" t="s">
        <v>58</v>
      </c>
      <c r="L101" s="2">
        <v>1.7</v>
      </c>
      <c r="M101" s="1" t="s">
        <v>340</v>
      </c>
      <c r="N101" s="17"/>
    </row>
    <row r="102" spans="1:15" ht="42" customHeight="1" x14ac:dyDescent="0.15">
      <c r="A102" s="1" t="s">
        <v>316</v>
      </c>
      <c r="B102" s="1" t="s">
        <v>319</v>
      </c>
      <c r="C102" s="2">
        <v>12.9</v>
      </c>
      <c r="D102" s="2">
        <v>15544846112</v>
      </c>
      <c r="E102" s="1" t="s">
        <v>317</v>
      </c>
      <c r="F102" s="1" t="s">
        <v>226</v>
      </c>
      <c r="G102" s="2">
        <v>0</v>
      </c>
      <c r="H102" s="2">
        <v>0</v>
      </c>
      <c r="I102" s="9">
        <v>1200</v>
      </c>
      <c r="J102" s="1" t="s">
        <v>59</v>
      </c>
      <c r="K102" s="1" t="s">
        <v>58</v>
      </c>
      <c r="L102" s="2">
        <v>1.7</v>
      </c>
      <c r="M102" s="1" t="s">
        <v>342</v>
      </c>
      <c r="N102" s="17"/>
      <c r="O102" s="1" t="s">
        <v>325</v>
      </c>
    </row>
    <row r="103" spans="1:15" ht="42" customHeight="1" x14ac:dyDescent="0.15">
      <c r="A103" s="1" t="s">
        <v>333</v>
      </c>
      <c r="B103" s="11" t="s">
        <v>334</v>
      </c>
      <c r="C103" s="2">
        <v>12.9</v>
      </c>
      <c r="D103" s="2">
        <v>13324586382</v>
      </c>
      <c r="E103" s="1" t="s">
        <v>335</v>
      </c>
      <c r="F103" s="1" t="s">
        <v>339</v>
      </c>
      <c r="G103" s="2">
        <v>0</v>
      </c>
      <c r="H103" s="2">
        <v>0</v>
      </c>
      <c r="I103" s="9">
        <v>2990</v>
      </c>
      <c r="J103" s="1" t="s">
        <v>59</v>
      </c>
      <c r="K103" s="1" t="s">
        <v>58</v>
      </c>
      <c r="L103" s="2">
        <v>1.7</v>
      </c>
      <c r="M103" s="1" t="s">
        <v>341</v>
      </c>
      <c r="N103" s="17"/>
      <c r="O103" s="1" t="s">
        <v>164</v>
      </c>
    </row>
    <row r="104" spans="1:15" ht="42" customHeight="1" x14ac:dyDescent="0.15">
      <c r="A104" s="31" t="s">
        <v>343</v>
      </c>
      <c r="B104" s="31" t="s">
        <v>28</v>
      </c>
      <c r="C104" s="32">
        <v>1.5</v>
      </c>
      <c r="D104" s="32">
        <v>15650588732</v>
      </c>
      <c r="E104" s="32" t="s">
        <v>344</v>
      </c>
      <c r="F104" s="31" t="s">
        <v>345</v>
      </c>
      <c r="G104" s="32">
        <v>0</v>
      </c>
      <c r="H104" s="32">
        <v>0</v>
      </c>
      <c r="I104" s="32">
        <v>15000</v>
      </c>
      <c r="J104" s="31" t="s">
        <v>55</v>
      </c>
      <c r="K104" s="31" t="s">
        <v>151</v>
      </c>
      <c r="L104" s="32">
        <v>1.1200000000000001</v>
      </c>
      <c r="M104" s="31" t="s">
        <v>351</v>
      </c>
      <c r="N104" s="32">
        <v>15000</v>
      </c>
      <c r="O104" s="31" t="s">
        <v>353</v>
      </c>
    </row>
    <row r="105" spans="1:15" ht="42" customHeight="1" x14ac:dyDescent="0.15">
      <c r="A105" s="39" t="s">
        <v>346</v>
      </c>
      <c r="B105" s="39" t="s">
        <v>347</v>
      </c>
      <c r="C105" s="40">
        <v>12.1</v>
      </c>
      <c r="D105" s="39">
        <v>18976519496</v>
      </c>
      <c r="E105" s="41" t="s">
        <v>348</v>
      </c>
      <c r="F105" s="41" t="s">
        <v>350</v>
      </c>
      <c r="G105" s="39">
        <v>200</v>
      </c>
      <c r="H105" s="39">
        <v>5780</v>
      </c>
      <c r="I105" s="39">
        <v>5980</v>
      </c>
      <c r="J105" s="41" t="s">
        <v>59</v>
      </c>
      <c r="K105" s="41" t="s">
        <v>372</v>
      </c>
      <c r="L105" s="39">
        <v>1.1200000000000001</v>
      </c>
      <c r="M105" s="41" t="s">
        <v>358</v>
      </c>
      <c r="N105" s="39">
        <v>5980</v>
      </c>
      <c r="O105" s="41" t="s">
        <v>349</v>
      </c>
    </row>
    <row r="106" spans="1:15" ht="42" customHeight="1" x14ac:dyDescent="0.15">
      <c r="A106" s="32" t="s">
        <v>355</v>
      </c>
      <c r="B106" s="31" t="s">
        <v>354</v>
      </c>
      <c r="C106" s="32">
        <v>1.5</v>
      </c>
      <c r="D106" s="32">
        <v>15327389939</v>
      </c>
      <c r="E106" s="31" t="s">
        <v>356</v>
      </c>
      <c r="F106" s="31" t="s">
        <v>357</v>
      </c>
      <c r="G106" s="32">
        <v>0</v>
      </c>
      <c r="H106" s="32">
        <v>0</v>
      </c>
      <c r="I106" s="32">
        <v>2250</v>
      </c>
      <c r="J106" s="31" t="s">
        <v>55</v>
      </c>
      <c r="K106" s="31" t="s">
        <v>151</v>
      </c>
      <c r="L106" s="32">
        <v>1.1299999999999999</v>
      </c>
      <c r="M106" s="31" t="s">
        <v>359</v>
      </c>
      <c r="N106" s="32">
        <v>2250</v>
      </c>
      <c r="O106" s="32"/>
    </row>
    <row r="107" spans="1:15" ht="42" customHeight="1" x14ac:dyDescent="0.15">
      <c r="A107" s="1" t="s">
        <v>361</v>
      </c>
      <c r="B107" s="11" t="s">
        <v>360</v>
      </c>
      <c r="C107" s="2">
        <v>12.4</v>
      </c>
      <c r="D107" s="2">
        <v>13894399600</v>
      </c>
      <c r="E107" s="2" t="s">
        <v>362</v>
      </c>
      <c r="F107" s="2" t="s">
        <v>363</v>
      </c>
      <c r="G107" s="2">
        <v>198</v>
      </c>
      <c r="H107" s="2">
        <v>1000</v>
      </c>
      <c r="I107" s="9">
        <v>1198</v>
      </c>
      <c r="J107" s="1" t="s">
        <v>55</v>
      </c>
      <c r="K107" s="1" t="s">
        <v>58</v>
      </c>
      <c r="L107" s="2">
        <v>1.21</v>
      </c>
      <c r="M107" s="1" t="s">
        <v>365</v>
      </c>
      <c r="N107" s="17"/>
      <c r="O107" s="1" t="s">
        <v>166</v>
      </c>
    </row>
    <row r="108" spans="1:15" ht="42" customHeight="1" x14ac:dyDescent="0.15">
      <c r="A108" s="39" t="s">
        <v>346</v>
      </c>
      <c r="B108" s="39" t="s">
        <v>347</v>
      </c>
      <c r="C108" s="40">
        <v>12.1</v>
      </c>
      <c r="D108" s="39">
        <v>18976519496</v>
      </c>
      <c r="E108" s="41" t="s">
        <v>348</v>
      </c>
      <c r="F108" s="41" t="s">
        <v>364</v>
      </c>
      <c r="G108" s="39">
        <v>500</v>
      </c>
      <c r="H108" s="39">
        <v>2000</v>
      </c>
      <c r="I108" s="39">
        <v>2500</v>
      </c>
      <c r="J108" s="41" t="s">
        <v>59</v>
      </c>
      <c r="K108" s="41" t="s">
        <v>371</v>
      </c>
      <c r="L108" s="39">
        <v>1.21</v>
      </c>
      <c r="M108" s="41" t="s">
        <v>375</v>
      </c>
      <c r="N108" s="39">
        <v>2500</v>
      </c>
      <c r="O108" s="41" t="s">
        <v>349</v>
      </c>
    </row>
    <row r="109" spans="1:15" ht="42" customHeight="1" x14ac:dyDescent="0.15">
      <c r="A109" s="33" t="s">
        <v>318</v>
      </c>
      <c r="B109" s="33" t="s">
        <v>320</v>
      </c>
      <c r="C109" s="34">
        <v>12.9</v>
      </c>
      <c r="D109" s="34">
        <v>13982889818</v>
      </c>
      <c r="E109" s="33" t="s">
        <v>324</v>
      </c>
      <c r="F109" s="33" t="s">
        <v>368</v>
      </c>
      <c r="G109" s="34">
        <v>0</v>
      </c>
      <c r="H109" s="34">
        <v>0</v>
      </c>
      <c r="I109" s="34">
        <v>1000</v>
      </c>
      <c r="J109" s="33" t="s">
        <v>367</v>
      </c>
      <c r="K109" s="33" t="s">
        <v>58</v>
      </c>
      <c r="L109" s="34">
        <v>1.22</v>
      </c>
      <c r="M109" s="33" t="s">
        <v>374</v>
      </c>
      <c r="N109" s="34"/>
      <c r="O109" s="33" t="s">
        <v>366</v>
      </c>
    </row>
    <row r="110" spans="1:15" ht="42" customHeight="1" x14ac:dyDescent="0.15">
      <c r="A110" s="1" t="s">
        <v>361</v>
      </c>
      <c r="B110" s="11" t="s">
        <v>360</v>
      </c>
      <c r="C110" s="2">
        <v>12.4</v>
      </c>
      <c r="D110" s="2">
        <v>13894399600</v>
      </c>
      <c r="E110" s="2" t="s">
        <v>362</v>
      </c>
      <c r="F110" s="2" t="s">
        <v>363</v>
      </c>
      <c r="G110" s="2">
        <v>198</v>
      </c>
      <c r="H110" s="2">
        <v>1000</v>
      </c>
      <c r="I110" s="9">
        <v>1198</v>
      </c>
      <c r="J110" s="1" t="s">
        <v>59</v>
      </c>
      <c r="K110" s="1" t="s">
        <v>58</v>
      </c>
      <c r="L110" s="2">
        <v>1.22</v>
      </c>
      <c r="M110" s="1" t="s">
        <v>373</v>
      </c>
      <c r="N110" s="17"/>
      <c r="O110" s="1"/>
    </row>
    <row r="111" spans="1:15" ht="42" customHeight="1" x14ac:dyDescent="0.15">
      <c r="A111" s="2" t="s">
        <v>376</v>
      </c>
      <c r="B111" s="1" t="s">
        <v>377</v>
      </c>
      <c r="C111" s="2">
        <v>12.21</v>
      </c>
      <c r="D111" s="2">
        <v>13008114373</v>
      </c>
      <c r="E111" s="1" t="s">
        <v>378</v>
      </c>
      <c r="F111" s="1" t="s">
        <v>379</v>
      </c>
      <c r="G111" s="2">
        <v>336</v>
      </c>
      <c r="H111" s="2">
        <v>0</v>
      </c>
      <c r="I111" s="9">
        <v>336</v>
      </c>
      <c r="J111" s="1" t="s">
        <v>55</v>
      </c>
      <c r="K111" s="1" t="s">
        <v>58</v>
      </c>
      <c r="L111" s="2">
        <v>1.26</v>
      </c>
      <c r="M111" s="43" t="s">
        <v>397</v>
      </c>
      <c r="N111" s="45" t="s">
        <v>424</v>
      </c>
    </row>
    <row r="112" spans="1:15" ht="42" customHeight="1" x14ac:dyDescent="0.15">
      <c r="A112" s="1" t="s">
        <v>181</v>
      </c>
      <c r="B112" s="1" t="s">
        <v>182</v>
      </c>
      <c r="C112" s="2">
        <v>9.5</v>
      </c>
      <c r="D112" s="2">
        <v>13624833466</v>
      </c>
      <c r="E112" s="2" t="s">
        <v>183</v>
      </c>
      <c r="F112" s="1" t="s">
        <v>379</v>
      </c>
      <c r="G112" s="2">
        <v>336</v>
      </c>
      <c r="H112" s="2">
        <v>0</v>
      </c>
      <c r="I112" s="9">
        <v>336</v>
      </c>
      <c r="J112" s="1" t="s">
        <v>59</v>
      </c>
      <c r="K112" s="1" t="s">
        <v>58</v>
      </c>
      <c r="L112" s="2">
        <v>1.26</v>
      </c>
      <c r="M112" s="43" t="s">
        <v>398</v>
      </c>
      <c r="N112" s="17"/>
      <c r="O112" s="1"/>
    </row>
    <row r="113" spans="1:15" ht="42" customHeight="1" x14ac:dyDescent="0.15">
      <c r="A113" s="2" t="s">
        <v>380</v>
      </c>
      <c r="B113" s="1" t="s">
        <v>382</v>
      </c>
      <c r="C113" s="2">
        <v>12.4</v>
      </c>
      <c r="D113" s="2">
        <v>13578933419</v>
      </c>
      <c r="E113" s="1" t="s">
        <v>381</v>
      </c>
      <c r="F113" s="1" t="s">
        <v>379</v>
      </c>
      <c r="G113" s="2">
        <v>75</v>
      </c>
      <c r="H113" s="2">
        <v>261</v>
      </c>
      <c r="I113" s="9">
        <v>336</v>
      </c>
      <c r="J113" s="1" t="s">
        <v>55</v>
      </c>
      <c r="K113" s="1" t="s">
        <v>58</v>
      </c>
      <c r="L113" s="2">
        <v>1.26</v>
      </c>
      <c r="M113" s="43" t="s">
        <v>400</v>
      </c>
      <c r="N113" s="17"/>
    </row>
    <row r="114" spans="1:15" ht="42" customHeight="1" x14ac:dyDescent="0.15">
      <c r="A114" s="1" t="s">
        <v>384</v>
      </c>
      <c r="B114" s="2" t="s">
        <v>383</v>
      </c>
      <c r="C114" s="2">
        <v>12.4</v>
      </c>
      <c r="D114" s="2">
        <v>13768410242</v>
      </c>
      <c r="E114" s="2" t="s">
        <v>385</v>
      </c>
      <c r="F114" s="2" t="s">
        <v>386</v>
      </c>
      <c r="G114" s="2">
        <v>504</v>
      </c>
      <c r="H114" s="2">
        <v>0</v>
      </c>
      <c r="I114" s="9">
        <v>504</v>
      </c>
      <c r="J114" s="1" t="s">
        <v>55</v>
      </c>
      <c r="K114" s="1" t="s">
        <v>58</v>
      </c>
      <c r="L114" s="2">
        <v>1.26</v>
      </c>
      <c r="M114" s="43" t="s">
        <v>399</v>
      </c>
      <c r="N114" s="17"/>
    </row>
    <row r="115" spans="1:15" ht="42" customHeight="1" x14ac:dyDescent="0.15">
      <c r="A115" s="1" t="s">
        <v>387</v>
      </c>
      <c r="B115" s="1" t="s">
        <v>387</v>
      </c>
      <c r="C115" s="2">
        <v>12.4</v>
      </c>
      <c r="D115" s="2">
        <v>13963797736</v>
      </c>
      <c r="E115" s="2" t="s">
        <v>388</v>
      </c>
      <c r="F115" s="2" t="s">
        <v>389</v>
      </c>
      <c r="G115" s="2">
        <v>168</v>
      </c>
      <c r="H115" s="2">
        <v>0</v>
      </c>
      <c r="I115" s="9">
        <v>168</v>
      </c>
      <c r="J115" s="1" t="s">
        <v>55</v>
      </c>
      <c r="K115" s="1" t="s">
        <v>58</v>
      </c>
      <c r="L115" s="2">
        <v>1.26</v>
      </c>
      <c r="M115" s="2" t="s">
        <v>405</v>
      </c>
      <c r="N115" s="17"/>
    </row>
    <row r="116" spans="1:15" ht="42" customHeight="1" x14ac:dyDescent="0.15">
      <c r="A116" s="1" t="s">
        <v>361</v>
      </c>
      <c r="B116" s="11" t="s">
        <v>360</v>
      </c>
      <c r="C116" s="2">
        <v>12.4</v>
      </c>
      <c r="D116" s="2">
        <v>13894399600</v>
      </c>
      <c r="E116" s="2" t="s">
        <v>362</v>
      </c>
      <c r="F116" s="1" t="s">
        <v>379</v>
      </c>
      <c r="G116" s="2">
        <v>0</v>
      </c>
      <c r="H116" s="2">
        <v>0</v>
      </c>
      <c r="I116" s="9">
        <v>336</v>
      </c>
      <c r="J116" s="1" t="s">
        <v>59</v>
      </c>
      <c r="K116" s="1" t="s">
        <v>58</v>
      </c>
      <c r="L116" s="2">
        <v>1.27</v>
      </c>
      <c r="M116" s="1" t="s">
        <v>404</v>
      </c>
      <c r="N116" s="17"/>
    </row>
    <row r="117" spans="1:15" ht="42" customHeight="1" x14ac:dyDescent="0.15">
      <c r="A117" s="11" t="s">
        <v>391</v>
      </c>
      <c r="B117" s="11" t="s">
        <v>390</v>
      </c>
      <c r="C117" s="2">
        <v>12.9</v>
      </c>
      <c r="D117" s="11">
        <v>13105310890</v>
      </c>
      <c r="E117" s="11" t="s">
        <v>392</v>
      </c>
      <c r="F117" s="1" t="s">
        <v>393</v>
      </c>
      <c r="G117" s="2">
        <v>168</v>
      </c>
      <c r="H117" s="2">
        <v>0</v>
      </c>
      <c r="I117" s="9">
        <v>168</v>
      </c>
      <c r="J117" s="1" t="s">
        <v>55</v>
      </c>
      <c r="K117" s="1" t="s">
        <v>58</v>
      </c>
      <c r="L117" s="2">
        <v>1.27</v>
      </c>
      <c r="M117" s="2" t="s">
        <v>406</v>
      </c>
      <c r="N117" s="17"/>
    </row>
    <row r="118" spans="1:15" ht="42" customHeight="1" x14ac:dyDescent="0.15">
      <c r="A118" s="1" t="s">
        <v>394</v>
      </c>
      <c r="B118" s="11" t="s">
        <v>395</v>
      </c>
      <c r="C118" s="2">
        <v>12.21</v>
      </c>
      <c r="D118" s="2">
        <v>13013494525</v>
      </c>
      <c r="E118" s="2" t="s">
        <v>396</v>
      </c>
      <c r="F118" s="1" t="s">
        <v>379</v>
      </c>
      <c r="G118" s="2">
        <v>0</v>
      </c>
      <c r="H118" s="2">
        <v>0</v>
      </c>
      <c r="I118" s="9">
        <v>336</v>
      </c>
      <c r="J118" s="1" t="s">
        <v>55</v>
      </c>
      <c r="K118" s="1" t="s">
        <v>58</v>
      </c>
      <c r="L118" s="2">
        <v>1.27</v>
      </c>
      <c r="M118" s="2" t="s">
        <v>403</v>
      </c>
      <c r="N118" s="17"/>
    </row>
    <row r="119" spans="1:15" ht="42" customHeight="1" x14ac:dyDescent="0.15">
      <c r="A119" s="1" t="s">
        <v>11</v>
      </c>
      <c r="B119" s="1" t="s">
        <v>27</v>
      </c>
      <c r="C119" s="2">
        <v>12.4</v>
      </c>
      <c r="D119" s="2">
        <v>15076731826</v>
      </c>
      <c r="E119" s="1" t="s">
        <v>16</v>
      </c>
      <c r="F119" s="1" t="s">
        <v>393</v>
      </c>
      <c r="G119" s="2">
        <v>168</v>
      </c>
      <c r="H119" s="2">
        <v>504</v>
      </c>
      <c r="I119" s="9">
        <v>672</v>
      </c>
      <c r="J119" s="1" t="s">
        <v>59</v>
      </c>
      <c r="K119" s="1" t="s">
        <v>58</v>
      </c>
      <c r="L119" s="1">
        <v>1.27</v>
      </c>
      <c r="M119" s="1" t="s">
        <v>407</v>
      </c>
      <c r="N119" s="3"/>
    </row>
    <row r="120" spans="1:15" ht="42" customHeight="1" x14ac:dyDescent="0.15">
      <c r="A120" s="2" t="s">
        <v>401</v>
      </c>
      <c r="B120" s="2" t="s">
        <v>401</v>
      </c>
      <c r="C120" s="13">
        <v>12.1</v>
      </c>
      <c r="D120" s="2">
        <v>17721447449</v>
      </c>
      <c r="E120" s="2" t="s">
        <v>402</v>
      </c>
      <c r="F120" s="2" t="s">
        <v>389</v>
      </c>
      <c r="G120" s="2">
        <v>168</v>
      </c>
      <c r="H120" s="2">
        <v>0</v>
      </c>
      <c r="I120" s="9">
        <v>168</v>
      </c>
      <c r="J120" s="1" t="s">
        <v>55</v>
      </c>
      <c r="K120" s="1" t="s">
        <v>58</v>
      </c>
      <c r="L120" s="2">
        <v>1.27</v>
      </c>
      <c r="M120" s="1" t="s">
        <v>409</v>
      </c>
      <c r="N120" s="45" t="s">
        <v>302</v>
      </c>
    </row>
    <row r="121" spans="1:15" ht="42" customHeight="1" x14ac:dyDescent="0.15">
      <c r="A121" s="2" t="s">
        <v>380</v>
      </c>
      <c r="B121" s="1" t="s">
        <v>382</v>
      </c>
      <c r="C121" s="2">
        <v>12.4</v>
      </c>
      <c r="D121" s="2">
        <v>13578933419</v>
      </c>
      <c r="E121" s="1" t="s">
        <v>381</v>
      </c>
      <c r="F121" s="1" t="s">
        <v>379</v>
      </c>
      <c r="G121" s="2">
        <v>0</v>
      </c>
      <c r="H121" s="2">
        <v>0</v>
      </c>
      <c r="I121" s="9">
        <v>336</v>
      </c>
      <c r="J121" s="1" t="s">
        <v>59</v>
      </c>
      <c r="K121" s="1" t="s">
        <v>58</v>
      </c>
      <c r="L121" s="2">
        <v>1.28</v>
      </c>
      <c r="M121" s="44" t="s">
        <v>408</v>
      </c>
      <c r="N121" s="17"/>
    </row>
    <row r="122" spans="1:15" ht="42" customHeight="1" x14ac:dyDescent="0.15">
      <c r="A122" s="5"/>
      <c r="B122" s="5"/>
      <c r="C122" s="5"/>
      <c r="D122" s="5"/>
      <c r="E122" s="21" t="s">
        <v>141</v>
      </c>
      <c r="F122" s="20">
        <f>SUM(G106:G117)</f>
        <v>2483</v>
      </c>
      <c r="G122" s="48" t="s">
        <v>45</v>
      </c>
      <c r="H122" s="49"/>
      <c r="I122" s="6">
        <f>SUM(I99:I121)</f>
        <v>53972</v>
      </c>
      <c r="J122" s="5"/>
      <c r="K122" s="50" t="s">
        <v>64</v>
      </c>
      <c r="L122" s="51"/>
      <c r="M122" s="7">
        <f>SUM(N99:N121)</f>
        <v>30730</v>
      </c>
      <c r="N122" s="8" t="s">
        <v>65</v>
      </c>
      <c r="O122" s="8">
        <f>I122-M122</f>
        <v>23242</v>
      </c>
    </row>
    <row r="123" spans="1:15" ht="42" customHeight="1" x14ac:dyDescent="0.15">
      <c r="A123" s="52">
        <v>46054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4"/>
    </row>
    <row r="124" spans="1:15" ht="42" customHeight="1" x14ac:dyDescent="0.15">
      <c r="A124" s="2" t="s">
        <v>401</v>
      </c>
      <c r="B124" s="2" t="s">
        <v>401</v>
      </c>
      <c r="C124" s="13">
        <v>12.1</v>
      </c>
      <c r="D124" s="2">
        <v>17721447449</v>
      </c>
      <c r="E124" s="2" t="s">
        <v>402</v>
      </c>
      <c r="F124" s="1" t="s">
        <v>410</v>
      </c>
      <c r="G124" s="2">
        <v>100</v>
      </c>
      <c r="H124" s="2">
        <v>2890</v>
      </c>
      <c r="I124" s="9">
        <v>2990</v>
      </c>
      <c r="J124" s="1" t="s">
        <v>59</v>
      </c>
      <c r="K124" s="1" t="s">
        <v>58</v>
      </c>
      <c r="L124" s="2">
        <v>2.6</v>
      </c>
      <c r="M124" s="1" t="s">
        <v>411</v>
      </c>
      <c r="N124" s="17"/>
    </row>
    <row r="125" spans="1:15" ht="42" customHeight="1" x14ac:dyDescent="0.15">
      <c r="A125" s="2" t="s">
        <v>401</v>
      </c>
      <c r="B125" s="2" t="s">
        <v>401</v>
      </c>
      <c r="C125" s="13">
        <v>12.1</v>
      </c>
      <c r="D125" s="2">
        <v>17721447449</v>
      </c>
      <c r="E125" s="2" t="s">
        <v>402</v>
      </c>
      <c r="F125" s="1" t="s">
        <v>413</v>
      </c>
      <c r="G125" s="2">
        <v>0</v>
      </c>
      <c r="H125" s="2">
        <v>0</v>
      </c>
      <c r="I125" s="9">
        <v>1800</v>
      </c>
      <c r="J125" s="1" t="s">
        <v>59</v>
      </c>
      <c r="K125" s="1" t="s">
        <v>412</v>
      </c>
      <c r="L125" s="2">
        <v>2.27</v>
      </c>
      <c r="M125" s="1" t="s">
        <v>416</v>
      </c>
      <c r="N125" s="17"/>
    </row>
    <row r="126" spans="1:15" ht="42" customHeight="1" x14ac:dyDescent="0.15">
      <c r="A126" s="1" t="s">
        <v>361</v>
      </c>
      <c r="B126" s="11" t="s">
        <v>360</v>
      </c>
      <c r="C126" s="2">
        <v>12.4</v>
      </c>
      <c r="D126" s="2">
        <v>13894399600</v>
      </c>
      <c r="E126" s="2" t="s">
        <v>362</v>
      </c>
      <c r="F126" s="1" t="s">
        <v>415</v>
      </c>
      <c r="G126" s="2">
        <v>0</v>
      </c>
      <c r="H126" s="2">
        <v>0</v>
      </c>
      <c r="I126" s="9">
        <v>1797</v>
      </c>
      <c r="J126" s="1" t="s">
        <v>59</v>
      </c>
      <c r="K126" s="1" t="s">
        <v>58</v>
      </c>
      <c r="L126" s="2">
        <v>2.12</v>
      </c>
      <c r="M126" s="1" t="s">
        <v>414</v>
      </c>
      <c r="N126" s="17"/>
    </row>
    <row r="127" spans="1:15" ht="42" customHeight="1" x14ac:dyDescent="0.15">
      <c r="A127" s="5"/>
      <c r="B127" s="5"/>
      <c r="C127" s="5"/>
      <c r="D127" s="5"/>
      <c r="E127" s="21" t="s">
        <v>141</v>
      </c>
      <c r="F127" s="20">
        <f>SUM(G110:G121)</f>
        <v>2121</v>
      </c>
      <c r="G127" s="48" t="s">
        <v>45</v>
      </c>
      <c r="H127" s="49"/>
      <c r="I127" s="6">
        <f>SUM(I124:I126)</f>
        <v>6587</v>
      </c>
      <c r="J127" s="5"/>
      <c r="K127" s="50" t="s">
        <v>64</v>
      </c>
      <c r="L127" s="51"/>
      <c r="M127" s="7">
        <f>SUM(N124:N125)</f>
        <v>0</v>
      </c>
      <c r="N127" s="8" t="s">
        <v>65</v>
      </c>
      <c r="O127" s="8">
        <f>I127-M127</f>
        <v>6587</v>
      </c>
    </row>
    <row r="128" spans="1:15" ht="42" customHeight="1" x14ac:dyDescent="0.15">
      <c r="A128" s="52">
        <v>46082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4"/>
    </row>
    <row r="129" spans="1:15" ht="42" customHeight="1" x14ac:dyDescent="0.15">
      <c r="A129" s="1" t="s">
        <v>417</v>
      </c>
      <c r="B129" s="1" t="s">
        <v>417</v>
      </c>
      <c r="C129" s="2">
        <v>3.2</v>
      </c>
      <c r="D129" s="2">
        <v>13121799200</v>
      </c>
      <c r="E129" s="1" t="s">
        <v>418</v>
      </c>
      <c r="F129" s="1" t="s">
        <v>419</v>
      </c>
      <c r="G129" s="2">
        <v>1860</v>
      </c>
      <c r="H129" s="2">
        <v>0</v>
      </c>
      <c r="I129" s="9">
        <v>1860</v>
      </c>
      <c r="J129" s="1" t="s">
        <v>55</v>
      </c>
      <c r="K129" s="1" t="s">
        <v>58</v>
      </c>
      <c r="L129" s="2">
        <v>3.5</v>
      </c>
      <c r="M129" s="1" t="s">
        <v>422</v>
      </c>
      <c r="N129" s="17"/>
      <c r="O129" s="1" t="s">
        <v>165</v>
      </c>
    </row>
    <row r="130" spans="1:15" ht="42" customHeight="1" x14ac:dyDescent="0.15">
      <c r="A130" s="1" t="s">
        <v>361</v>
      </c>
      <c r="B130" s="11" t="s">
        <v>360</v>
      </c>
      <c r="C130" s="2">
        <v>12.4</v>
      </c>
      <c r="D130" s="2">
        <v>13894399600</v>
      </c>
      <c r="E130" s="2" t="s">
        <v>362</v>
      </c>
      <c r="F130" s="1" t="s">
        <v>420</v>
      </c>
      <c r="G130" s="2">
        <v>194</v>
      </c>
      <c r="H130" s="2">
        <v>4598</v>
      </c>
      <c r="I130" s="9">
        <v>4792</v>
      </c>
      <c r="J130" s="1" t="s">
        <v>59</v>
      </c>
      <c r="K130" s="1" t="s">
        <v>58</v>
      </c>
      <c r="L130" s="2">
        <v>3.4</v>
      </c>
      <c r="M130" s="1" t="s">
        <v>421</v>
      </c>
      <c r="N130" s="17"/>
    </row>
    <row r="131" spans="1:15" ht="42" customHeight="1" x14ac:dyDescent="0.15">
      <c r="A131" s="2" t="s">
        <v>376</v>
      </c>
      <c r="B131" s="1" t="s">
        <v>377</v>
      </c>
      <c r="C131" s="2">
        <v>12.21</v>
      </c>
      <c r="D131" s="2">
        <v>13008114373</v>
      </c>
      <c r="E131" s="1" t="s">
        <v>378</v>
      </c>
      <c r="F131" s="1" t="s">
        <v>423</v>
      </c>
      <c r="G131" s="2">
        <v>190</v>
      </c>
      <c r="H131" s="2">
        <v>800</v>
      </c>
      <c r="I131" s="9">
        <v>990</v>
      </c>
      <c r="J131" s="1" t="s">
        <v>59</v>
      </c>
      <c r="K131" s="1" t="s">
        <v>58</v>
      </c>
      <c r="L131" s="2">
        <v>3.6</v>
      </c>
      <c r="M131" s="46" t="s">
        <v>425</v>
      </c>
      <c r="N131" s="17"/>
    </row>
    <row r="132" spans="1:15" ht="42" customHeight="1" x14ac:dyDescent="0.15">
      <c r="A132" s="1" t="s">
        <v>181</v>
      </c>
      <c r="B132" s="1" t="s">
        <v>182</v>
      </c>
      <c r="C132" s="2">
        <v>12.4</v>
      </c>
      <c r="D132" s="2">
        <v>13624833466</v>
      </c>
      <c r="E132" s="2" t="s">
        <v>183</v>
      </c>
      <c r="F132" s="1" t="s">
        <v>427</v>
      </c>
      <c r="G132" s="2">
        <v>100</v>
      </c>
      <c r="H132" s="2">
        <v>900</v>
      </c>
      <c r="I132" s="9">
        <v>1000</v>
      </c>
      <c r="J132" s="1" t="s">
        <v>59</v>
      </c>
      <c r="K132" s="1" t="s">
        <v>58</v>
      </c>
      <c r="L132" s="2">
        <v>3.6</v>
      </c>
      <c r="M132" s="46" t="s">
        <v>426</v>
      </c>
      <c r="N132" s="17"/>
      <c r="O132" s="1"/>
    </row>
    <row r="133" spans="1:15" ht="42" customHeight="1" x14ac:dyDescent="0.15">
      <c r="A133" s="1" t="s">
        <v>11</v>
      </c>
      <c r="B133" s="1" t="s">
        <v>27</v>
      </c>
      <c r="C133" s="2">
        <v>12.4</v>
      </c>
      <c r="D133" s="2">
        <v>15076731826</v>
      </c>
      <c r="E133" s="1" t="s">
        <v>16</v>
      </c>
      <c r="F133" s="1" t="s">
        <v>430</v>
      </c>
      <c r="G133" s="2">
        <v>0</v>
      </c>
      <c r="H133" s="2">
        <v>0</v>
      </c>
      <c r="I133" s="9">
        <v>3198</v>
      </c>
      <c r="J133" s="1" t="s">
        <v>59</v>
      </c>
      <c r="K133" s="1" t="s">
        <v>58</v>
      </c>
      <c r="L133" s="1">
        <v>3.27</v>
      </c>
      <c r="M133" s="1" t="s">
        <v>432</v>
      </c>
      <c r="N133" s="17"/>
    </row>
    <row r="134" spans="1:15" ht="42" customHeight="1" x14ac:dyDescent="0.15">
      <c r="A134" s="1" t="s">
        <v>361</v>
      </c>
      <c r="B134" s="11" t="s">
        <v>360</v>
      </c>
      <c r="C134" s="2">
        <v>12.4</v>
      </c>
      <c r="D134" s="2">
        <v>13894399600</v>
      </c>
      <c r="E134" s="1" t="s">
        <v>428</v>
      </c>
      <c r="F134" s="1" t="s">
        <v>429</v>
      </c>
      <c r="G134" s="2">
        <v>0</v>
      </c>
      <c r="H134" s="2">
        <v>0</v>
      </c>
      <c r="I134" s="9">
        <v>2179</v>
      </c>
      <c r="J134" s="1" t="s">
        <v>59</v>
      </c>
      <c r="K134" s="1" t="s">
        <v>58</v>
      </c>
      <c r="L134" s="2">
        <v>3.27</v>
      </c>
      <c r="M134" s="1" t="s">
        <v>433</v>
      </c>
      <c r="N134" s="17"/>
    </row>
    <row r="135" spans="1:15" ht="42" customHeight="1" x14ac:dyDescent="0.15">
      <c r="A135" s="5"/>
      <c r="B135" s="5"/>
      <c r="C135" s="5"/>
      <c r="D135" s="5"/>
      <c r="E135" s="21" t="s">
        <v>141</v>
      </c>
      <c r="F135" s="20">
        <f>SUM(G118:G129)</f>
        <v>2296</v>
      </c>
      <c r="G135" s="48" t="s">
        <v>45</v>
      </c>
      <c r="H135" s="49"/>
      <c r="I135" s="6">
        <f>SUM(I129:I134)</f>
        <v>14019</v>
      </c>
      <c r="J135" s="5"/>
      <c r="K135" s="50" t="s">
        <v>64</v>
      </c>
      <c r="L135" s="51"/>
      <c r="M135" s="7">
        <f>SUM(N132:N133)</f>
        <v>0</v>
      </c>
      <c r="N135" s="8" t="s">
        <v>65</v>
      </c>
      <c r="O135" s="8">
        <f>I135-M135</f>
        <v>14019</v>
      </c>
    </row>
    <row r="136" spans="1:15" ht="42" customHeight="1" x14ac:dyDescent="0.15">
      <c r="A136" s="52">
        <v>46113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4"/>
    </row>
    <row r="137" spans="1:15" ht="42" customHeight="1" x14ac:dyDescent="0.15">
      <c r="A137" s="2" t="s">
        <v>401</v>
      </c>
      <c r="B137" s="2" t="s">
        <v>401</v>
      </c>
      <c r="C137" s="13">
        <v>12.1</v>
      </c>
      <c r="D137" s="2">
        <v>17721447449</v>
      </c>
      <c r="E137" s="2" t="s">
        <v>402</v>
      </c>
      <c r="F137" s="1" t="s">
        <v>431</v>
      </c>
      <c r="G137" s="2">
        <v>0</v>
      </c>
      <c r="H137" s="2">
        <v>0</v>
      </c>
      <c r="I137" s="9">
        <v>2089</v>
      </c>
      <c r="J137" s="1" t="s">
        <v>59</v>
      </c>
      <c r="K137" s="1" t="s">
        <v>58</v>
      </c>
      <c r="L137" s="2">
        <v>4.4000000000000004</v>
      </c>
      <c r="M137" s="1" t="s">
        <v>439</v>
      </c>
      <c r="N137" s="17"/>
    </row>
    <row r="138" spans="1:15" ht="42" customHeight="1" x14ac:dyDescent="0.15">
      <c r="A138" s="1" t="s">
        <v>435</v>
      </c>
      <c r="B138" s="2" t="s">
        <v>434</v>
      </c>
      <c r="C138" s="2">
        <v>3.28</v>
      </c>
      <c r="D138" s="2">
        <v>18191556283</v>
      </c>
      <c r="E138" s="1" t="s">
        <v>436</v>
      </c>
      <c r="F138" s="1" t="s">
        <v>437</v>
      </c>
      <c r="G138" s="2">
        <v>0</v>
      </c>
      <c r="H138" s="2">
        <v>0</v>
      </c>
      <c r="I138" s="9">
        <v>11960</v>
      </c>
      <c r="J138" s="1" t="s">
        <v>55</v>
      </c>
      <c r="K138" s="1" t="s">
        <v>58</v>
      </c>
      <c r="L138" s="2">
        <v>4.5</v>
      </c>
      <c r="M138" s="2" t="s">
        <v>438</v>
      </c>
      <c r="N138" s="17"/>
      <c r="O138" s="1" t="s">
        <v>452</v>
      </c>
    </row>
    <row r="139" spans="1:15" ht="42" customHeight="1" x14ac:dyDescent="0.15">
      <c r="A139" s="1" t="s">
        <v>181</v>
      </c>
      <c r="B139" s="1" t="s">
        <v>182</v>
      </c>
      <c r="C139" s="2">
        <v>12.4</v>
      </c>
      <c r="D139" s="2">
        <v>13624833466</v>
      </c>
      <c r="E139" s="2" t="s">
        <v>183</v>
      </c>
      <c r="F139" s="1" t="s">
        <v>440</v>
      </c>
      <c r="G139" s="2">
        <v>0</v>
      </c>
      <c r="H139" s="2">
        <v>0</v>
      </c>
      <c r="I139" s="9">
        <v>199</v>
      </c>
      <c r="J139" s="1" t="s">
        <v>59</v>
      </c>
      <c r="K139" s="1" t="s">
        <v>412</v>
      </c>
      <c r="L139" s="2">
        <v>4.4000000000000004</v>
      </c>
      <c r="M139" s="47" t="s">
        <v>443</v>
      </c>
      <c r="N139" s="17"/>
    </row>
    <row r="140" spans="1:15" ht="42" customHeight="1" x14ac:dyDescent="0.15">
      <c r="A140" s="2" t="s">
        <v>376</v>
      </c>
      <c r="B140" s="1" t="s">
        <v>377</v>
      </c>
      <c r="C140" s="2">
        <v>12.21</v>
      </c>
      <c r="D140" s="2">
        <v>13008114373</v>
      </c>
      <c r="E140" s="1" t="s">
        <v>378</v>
      </c>
      <c r="F140" s="1" t="s">
        <v>440</v>
      </c>
      <c r="G140" s="2">
        <v>0</v>
      </c>
      <c r="H140" s="2">
        <v>0</v>
      </c>
      <c r="I140" s="9">
        <v>199</v>
      </c>
      <c r="J140" s="1" t="s">
        <v>59</v>
      </c>
      <c r="K140" s="1" t="s">
        <v>58</v>
      </c>
      <c r="L140" s="2">
        <v>4.4000000000000004</v>
      </c>
      <c r="M140" s="47" t="s">
        <v>442</v>
      </c>
      <c r="N140" s="17"/>
    </row>
    <row r="141" spans="1:15" ht="42" customHeight="1" x14ac:dyDescent="0.15">
      <c r="A141" s="1" t="s">
        <v>445</v>
      </c>
      <c r="B141" s="2" t="s">
        <v>444</v>
      </c>
      <c r="C141" s="1" t="s">
        <v>446</v>
      </c>
      <c r="D141" s="2">
        <v>15713954632</v>
      </c>
      <c r="E141" s="2" t="s">
        <v>447</v>
      </c>
      <c r="F141" s="2" t="s">
        <v>448</v>
      </c>
      <c r="G141" s="2">
        <v>0</v>
      </c>
      <c r="H141" s="2">
        <v>0</v>
      </c>
      <c r="I141" s="9">
        <v>199</v>
      </c>
      <c r="J141" s="1" t="s">
        <v>59</v>
      </c>
      <c r="K141" s="1" t="s">
        <v>58</v>
      </c>
      <c r="L141" s="2">
        <v>4.4000000000000004</v>
      </c>
      <c r="M141" s="47" t="s">
        <v>441</v>
      </c>
      <c r="N141" s="17"/>
      <c r="O141" s="1" t="s">
        <v>453</v>
      </c>
    </row>
    <row r="142" spans="1:15" ht="42" customHeight="1" x14ac:dyDescent="0.15">
      <c r="A142" s="2" t="s">
        <v>401</v>
      </c>
      <c r="B142" s="2" t="s">
        <v>401</v>
      </c>
      <c r="C142" s="13">
        <v>12.1</v>
      </c>
      <c r="D142" s="2">
        <v>17721447449</v>
      </c>
      <c r="E142" s="2" t="s">
        <v>402</v>
      </c>
      <c r="F142" s="1" t="s">
        <v>449</v>
      </c>
      <c r="G142" s="2">
        <v>0</v>
      </c>
      <c r="H142" s="2">
        <v>0</v>
      </c>
      <c r="I142" s="9">
        <v>396</v>
      </c>
      <c r="J142" s="1" t="s">
        <v>55</v>
      </c>
      <c r="K142" s="1" t="s">
        <v>412</v>
      </c>
      <c r="L142" s="2">
        <v>4.9000000000000004</v>
      </c>
      <c r="M142" s="1"/>
      <c r="N142" s="17"/>
    </row>
    <row r="143" spans="1:15" ht="42" customHeight="1" x14ac:dyDescent="0.15">
      <c r="A143" s="1" t="s">
        <v>214</v>
      </c>
      <c r="B143" s="1" t="s">
        <v>217</v>
      </c>
      <c r="C143" s="2">
        <v>12.4</v>
      </c>
      <c r="D143" s="2">
        <v>13936291792</v>
      </c>
      <c r="E143" s="2" t="s">
        <v>216</v>
      </c>
      <c r="F143" s="1" t="s">
        <v>450</v>
      </c>
      <c r="G143" s="2">
        <v>0</v>
      </c>
      <c r="H143" s="2">
        <v>0</v>
      </c>
      <c r="I143" s="9">
        <v>398</v>
      </c>
      <c r="J143" s="1" t="s">
        <v>59</v>
      </c>
      <c r="K143" s="1" t="s">
        <v>412</v>
      </c>
      <c r="L143" s="14">
        <v>4.9000000000000004</v>
      </c>
      <c r="M143" s="62" t="s">
        <v>456</v>
      </c>
      <c r="N143" s="17"/>
    </row>
    <row r="144" spans="1:15" ht="42" customHeight="1" x14ac:dyDescent="0.15">
      <c r="A144" s="2" t="s">
        <v>376</v>
      </c>
      <c r="B144" s="1" t="s">
        <v>377</v>
      </c>
      <c r="C144" s="2">
        <v>12.21</v>
      </c>
      <c r="D144" s="2">
        <v>13008114373</v>
      </c>
      <c r="E144" s="1" t="s">
        <v>378</v>
      </c>
      <c r="F144" s="1" t="s">
        <v>451</v>
      </c>
      <c r="G144" s="2">
        <v>0</v>
      </c>
      <c r="H144" s="2">
        <v>0</v>
      </c>
      <c r="I144" s="9">
        <v>198</v>
      </c>
      <c r="J144" s="1" t="s">
        <v>59</v>
      </c>
      <c r="K144" s="1" t="s">
        <v>412</v>
      </c>
      <c r="L144" s="2">
        <v>4.9000000000000004</v>
      </c>
      <c r="M144" s="1"/>
      <c r="N144" s="17"/>
      <c r="O144" s="12"/>
    </row>
    <row r="145" spans="1:15" ht="42" customHeight="1" x14ac:dyDescent="0.15">
      <c r="A145" s="1" t="s">
        <v>361</v>
      </c>
      <c r="B145" s="11" t="s">
        <v>360</v>
      </c>
      <c r="C145" s="2">
        <v>12.4</v>
      </c>
      <c r="D145" s="2">
        <v>13894399600</v>
      </c>
      <c r="E145" s="1" t="s">
        <v>428</v>
      </c>
      <c r="F145" s="1" t="s">
        <v>454</v>
      </c>
      <c r="G145" s="2">
        <v>0</v>
      </c>
      <c r="H145" s="2">
        <v>0</v>
      </c>
      <c r="I145" s="9">
        <v>398</v>
      </c>
      <c r="J145" s="1" t="s">
        <v>59</v>
      </c>
      <c r="K145" s="1" t="s">
        <v>112</v>
      </c>
      <c r="L145" s="2">
        <v>4.5999999999999996</v>
      </c>
      <c r="M145" s="1" t="s">
        <v>455</v>
      </c>
      <c r="N145" s="17"/>
    </row>
    <row r="146" spans="1:15" ht="42" customHeight="1" x14ac:dyDescent="0.15">
      <c r="A146" s="2" t="s">
        <v>457</v>
      </c>
      <c r="B146" s="1" t="s">
        <v>458</v>
      </c>
      <c r="C146" s="2">
        <v>3.8</v>
      </c>
      <c r="D146" s="2">
        <v>13586479193</v>
      </c>
      <c r="E146" s="2" t="s">
        <v>459</v>
      </c>
      <c r="F146" s="2" t="s">
        <v>460</v>
      </c>
      <c r="G146" s="2">
        <v>0</v>
      </c>
      <c r="H146" s="2">
        <v>0</v>
      </c>
      <c r="I146" s="9">
        <v>1599</v>
      </c>
      <c r="J146" s="1" t="s">
        <v>55</v>
      </c>
      <c r="K146" s="1" t="s">
        <v>412</v>
      </c>
      <c r="L146" s="2">
        <v>4.0999999999999996</v>
      </c>
      <c r="M146" s="2" t="s">
        <v>461</v>
      </c>
      <c r="N146" s="17"/>
    </row>
    <row r="147" spans="1:15" ht="42" customHeight="1" x14ac:dyDescent="0.15">
      <c r="I147" s="9"/>
      <c r="N147" s="17"/>
    </row>
    <row r="148" spans="1:15" ht="42" customHeight="1" x14ac:dyDescent="0.15">
      <c r="A148" s="5"/>
      <c r="B148" s="5"/>
      <c r="C148" s="5"/>
      <c r="D148" s="5"/>
      <c r="E148" s="21" t="s">
        <v>141</v>
      </c>
      <c r="F148" s="20">
        <f>SUM(G130:G141)</f>
        <v>484</v>
      </c>
      <c r="G148" s="48" t="s">
        <v>45</v>
      </c>
      <c r="H148" s="49"/>
      <c r="I148" s="6">
        <f>SUM(I137:I146)</f>
        <v>17635</v>
      </c>
      <c r="J148" s="5"/>
      <c r="K148" s="50" t="s">
        <v>64</v>
      </c>
      <c r="L148" s="51"/>
      <c r="M148" s="7">
        <f>SUM(M144:M144)</f>
        <v>0</v>
      </c>
      <c r="N148" s="8" t="s">
        <v>65</v>
      </c>
      <c r="O148" s="8">
        <f>I148-M148</f>
        <v>17635</v>
      </c>
    </row>
    <row r="149" spans="1:15" ht="42" customHeight="1" x14ac:dyDescent="0.15">
      <c r="I149" s="9"/>
      <c r="N149" s="17"/>
    </row>
    <row r="150" spans="1:15" ht="42" customHeight="1" x14ac:dyDescent="0.15">
      <c r="I150" s="9"/>
      <c r="N150" s="17"/>
    </row>
    <row r="151" spans="1:15" ht="42" customHeight="1" x14ac:dyDescent="0.15">
      <c r="I151" s="9"/>
      <c r="N151" s="17"/>
    </row>
    <row r="152" spans="1:15" ht="42" customHeight="1" x14ac:dyDescent="0.15">
      <c r="I152" s="9"/>
      <c r="N152" s="17"/>
    </row>
    <row r="153" spans="1:15" ht="42" customHeight="1" x14ac:dyDescent="0.15">
      <c r="I153" s="9"/>
      <c r="N153" s="17"/>
    </row>
    <row r="154" spans="1:15" ht="42" customHeight="1" x14ac:dyDescent="0.15">
      <c r="I154" s="9"/>
      <c r="N154" s="17"/>
    </row>
    <row r="155" spans="1:15" ht="42" customHeight="1" x14ac:dyDescent="0.15">
      <c r="I155" s="9"/>
      <c r="N155" s="17"/>
    </row>
    <row r="156" spans="1:15" ht="42" customHeight="1" x14ac:dyDescent="0.15">
      <c r="I156" s="9"/>
      <c r="N156" s="17"/>
    </row>
    <row r="157" spans="1:15" ht="42" customHeight="1" x14ac:dyDescent="0.15">
      <c r="I157" s="9"/>
      <c r="N157" s="17"/>
    </row>
    <row r="158" spans="1:15" ht="42" customHeight="1" x14ac:dyDescent="0.15">
      <c r="I158" s="9"/>
      <c r="N158" s="17"/>
    </row>
    <row r="159" spans="1:15" ht="42" customHeight="1" x14ac:dyDescent="0.15">
      <c r="I159" s="9"/>
      <c r="N159" s="17"/>
    </row>
    <row r="160" spans="1:15" ht="42" customHeight="1" x14ac:dyDescent="0.15">
      <c r="I160" s="9"/>
      <c r="N160" s="17"/>
    </row>
    <row r="161" spans="9:14" ht="42" customHeight="1" x14ac:dyDescent="0.15">
      <c r="I161" s="9"/>
      <c r="N161" s="17"/>
    </row>
    <row r="162" spans="9:14" ht="42" customHeight="1" x14ac:dyDescent="0.15">
      <c r="I162" s="9"/>
      <c r="N162" s="17"/>
    </row>
    <row r="163" spans="9:14" ht="42" customHeight="1" x14ac:dyDescent="0.15">
      <c r="I163" s="9"/>
      <c r="N163" s="17"/>
    </row>
    <row r="164" spans="9:14" ht="42" customHeight="1" x14ac:dyDescent="0.15">
      <c r="I164" s="9"/>
      <c r="N164" s="17"/>
    </row>
    <row r="165" spans="9:14" ht="42" customHeight="1" x14ac:dyDescent="0.15">
      <c r="I165" s="9"/>
      <c r="N165" s="17"/>
    </row>
    <row r="166" spans="9:14" ht="42" customHeight="1" x14ac:dyDescent="0.15">
      <c r="I166" s="9"/>
      <c r="N166" s="17"/>
    </row>
    <row r="167" spans="9:14" ht="42" customHeight="1" x14ac:dyDescent="0.15">
      <c r="I167" s="9"/>
      <c r="N167" s="17"/>
    </row>
    <row r="168" spans="9:14" ht="42" customHeight="1" x14ac:dyDescent="0.15">
      <c r="I168" s="9"/>
      <c r="N168" s="17"/>
    </row>
    <row r="169" spans="9:14" ht="42" customHeight="1" x14ac:dyDescent="0.15">
      <c r="I169" s="9"/>
      <c r="N169" s="17"/>
    </row>
    <row r="170" spans="9:14" ht="42" customHeight="1" x14ac:dyDescent="0.15">
      <c r="I170" s="9"/>
      <c r="N170" s="17"/>
    </row>
    <row r="171" spans="9:14" ht="42" customHeight="1" x14ac:dyDescent="0.15">
      <c r="I171" s="9"/>
      <c r="N171" s="17"/>
    </row>
    <row r="172" spans="9:14" ht="42" customHeight="1" x14ac:dyDescent="0.15">
      <c r="I172" s="9"/>
      <c r="N172" s="17"/>
    </row>
    <row r="173" spans="9:14" ht="42" customHeight="1" x14ac:dyDescent="0.15">
      <c r="I173" s="9"/>
      <c r="N173" s="17"/>
    </row>
    <row r="174" spans="9:14" ht="42" customHeight="1" x14ac:dyDescent="0.15">
      <c r="I174" s="9"/>
      <c r="N174" s="17"/>
    </row>
    <row r="175" spans="9:14" ht="42" customHeight="1" x14ac:dyDescent="0.15">
      <c r="I175" s="9"/>
      <c r="N175" s="17"/>
    </row>
    <row r="176" spans="9:14" ht="42" customHeight="1" x14ac:dyDescent="0.15">
      <c r="I176" s="9"/>
      <c r="N176" s="17"/>
    </row>
    <row r="177" spans="9:14" ht="42" customHeight="1" x14ac:dyDescent="0.15">
      <c r="I177" s="9"/>
      <c r="N177" s="17"/>
    </row>
    <row r="178" spans="9:14" ht="42" customHeight="1" x14ac:dyDescent="0.15">
      <c r="I178" s="9"/>
      <c r="N178" s="17"/>
    </row>
    <row r="179" spans="9:14" ht="42" customHeight="1" x14ac:dyDescent="0.15">
      <c r="I179" s="9"/>
      <c r="N179" s="17"/>
    </row>
    <row r="180" spans="9:14" ht="42" customHeight="1" x14ac:dyDescent="0.15">
      <c r="I180" s="9"/>
      <c r="N180" s="17"/>
    </row>
    <row r="181" spans="9:14" ht="42" customHeight="1" x14ac:dyDescent="0.15">
      <c r="I181" s="9"/>
      <c r="N181" s="17"/>
    </row>
    <row r="182" spans="9:14" ht="42" customHeight="1" x14ac:dyDescent="0.15">
      <c r="I182" s="9"/>
      <c r="N182" s="17"/>
    </row>
    <row r="183" spans="9:14" ht="42" customHeight="1" x14ac:dyDescent="0.15">
      <c r="I183" s="9"/>
      <c r="N183" s="17"/>
    </row>
    <row r="184" spans="9:14" ht="42" customHeight="1" x14ac:dyDescent="0.15">
      <c r="I184" s="9"/>
      <c r="N184" s="17"/>
    </row>
    <row r="185" spans="9:14" ht="42" customHeight="1" x14ac:dyDescent="0.15">
      <c r="I185" s="9"/>
      <c r="N185" s="17"/>
    </row>
    <row r="186" spans="9:14" ht="42" customHeight="1" x14ac:dyDescent="0.15">
      <c r="I186" s="9"/>
      <c r="N186" s="17"/>
    </row>
    <row r="187" spans="9:14" ht="42" customHeight="1" x14ac:dyDescent="0.15">
      <c r="I187" s="9"/>
      <c r="N187" s="17"/>
    </row>
    <row r="188" spans="9:14" ht="42" customHeight="1" x14ac:dyDescent="0.15">
      <c r="I188" s="9"/>
      <c r="N188" s="17"/>
    </row>
    <row r="189" spans="9:14" ht="42" customHeight="1" x14ac:dyDescent="0.15">
      <c r="I189" s="9"/>
      <c r="N189" s="17"/>
    </row>
    <row r="190" spans="9:14" ht="42" customHeight="1" x14ac:dyDescent="0.15">
      <c r="I190" s="9"/>
      <c r="N190" s="17"/>
    </row>
    <row r="191" spans="9:14" ht="42" customHeight="1" x14ac:dyDescent="0.15">
      <c r="I191" s="9"/>
      <c r="N191" s="17"/>
    </row>
    <row r="192" spans="9:14" ht="42" customHeight="1" x14ac:dyDescent="0.15">
      <c r="I192" s="9"/>
      <c r="N192" s="17"/>
    </row>
    <row r="193" spans="9:14" ht="42" customHeight="1" x14ac:dyDescent="0.15">
      <c r="I193" s="9"/>
      <c r="N193" s="17"/>
    </row>
    <row r="194" spans="9:14" ht="42" customHeight="1" x14ac:dyDescent="0.15">
      <c r="I194" s="9"/>
      <c r="N194" s="17"/>
    </row>
    <row r="195" spans="9:14" ht="42" customHeight="1" x14ac:dyDescent="0.15">
      <c r="I195" s="9"/>
      <c r="N195" s="17"/>
    </row>
    <row r="196" spans="9:14" ht="42" customHeight="1" x14ac:dyDescent="0.15">
      <c r="I196" s="9"/>
      <c r="N196" s="17"/>
    </row>
    <row r="197" spans="9:14" ht="42" customHeight="1" x14ac:dyDescent="0.15">
      <c r="I197" s="9"/>
      <c r="N197" s="17"/>
    </row>
    <row r="198" spans="9:14" ht="42" customHeight="1" x14ac:dyDescent="0.15">
      <c r="I198" s="9"/>
      <c r="N198" s="17"/>
    </row>
    <row r="199" spans="9:14" ht="42" customHeight="1" x14ac:dyDescent="0.15">
      <c r="I199" s="9"/>
      <c r="N199" s="17"/>
    </row>
    <row r="200" spans="9:14" ht="42" customHeight="1" x14ac:dyDescent="0.15">
      <c r="I200" s="9"/>
      <c r="N200" s="17"/>
    </row>
    <row r="201" spans="9:14" ht="42" customHeight="1" x14ac:dyDescent="0.15">
      <c r="I201" s="9"/>
      <c r="N201" s="17"/>
    </row>
    <row r="202" spans="9:14" ht="42" customHeight="1" x14ac:dyDescent="0.15">
      <c r="I202" s="9"/>
      <c r="N202" s="17"/>
    </row>
    <row r="203" spans="9:14" ht="42" customHeight="1" x14ac:dyDescent="0.15">
      <c r="I203" s="9"/>
      <c r="N203" s="17"/>
    </row>
    <row r="204" spans="9:14" ht="42" customHeight="1" x14ac:dyDescent="0.15">
      <c r="I204" s="9"/>
      <c r="N204" s="17"/>
    </row>
    <row r="205" spans="9:14" ht="42" customHeight="1" x14ac:dyDescent="0.15">
      <c r="I205" s="9"/>
      <c r="N205" s="17"/>
    </row>
    <row r="206" spans="9:14" ht="42" customHeight="1" x14ac:dyDescent="0.15">
      <c r="I206" s="9"/>
      <c r="N206" s="17"/>
    </row>
    <row r="207" spans="9:14" ht="42" customHeight="1" x14ac:dyDescent="0.15">
      <c r="I207" s="9"/>
      <c r="N207" s="17"/>
    </row>
    <row r="208" spans="9:14" ht="42" customHeight="1" x14ac:dyDescent="0.15">
      <c r="I208" s="9"/>
      <c r="N208" s="17"/>
    </row>
    <row r="209" spans="9:14" ht="42" customHeight="1" x14ac:dyDescent="0.15">
      <c r="I209" s="9"/>
      <c r="N209" s="17"/>
    </row>
    <row r="210" spans="9:14" ht="42" customHeight="1" x14ac:dyDescent="0.15">
      <c r="I210" s="9"/>
      <c r="N210" s="17"/>
    </row>
    <row r="211" spans="9:14" ht="42" customHeight="1" x14ac:dyDescent="0.15">
      <c r="I211" s="9"/>
      <c r="N211" s="17"/>
    </row>
    <row r="212" spans="9:14" ht="42" customHeight="1" x14ac:dyDescent="0.15">
      <c r="I212" s="9"/>
      <c r="N212" s="17"/>
    </row>
    <row r="213" spans="9:14" ht="42" customHeight="1" x14ac:dyDescent="0.15">
      <c r="I213" s="9"/>
      <c r="N213" s="17"/>
    </row>
    <row r="214" spans="9:14" ht="42" customHeight="1" x14ac:dyDescent="0.15">
      <c r="I214" s="9"/>
      <c r="N214" s="17"/>
    </row>
    <row r="215" spans="9:14" ht="42" customHeight="1" x14ac:dyDescent="0.15">
      <c r="I215" s="9"/>
      <c r="N215" s="17"/>
    </row>
    <row r="216" spans="9:14" ht="42" customHeight="1" x14ac:dyDescent="0.15">
      <c r="I216" s="9"/>
      <c r="N216" s="17"/>
    </row>
    <row r="217" spans="9:14" ht="42" customHeight="1" x14ac:dyDescent="0.15">
      <c r="I217" s="9"/>
      <c r="N217" s="17"/>
    </row>
    <row r="218" spans="9:14" ht="42" customHeight="1" x14ac:dyDescent="0.15">
      <c r="I218" s="9"/>
      <c r="N218" s="17"/>
    </row>
    <row r="219" spans="9:14" ht="42" customHeight="1" x14ac:dyDescent="0.15">
      <c r="I219" s="9"/>
      <c r="N219" s="17"/>
    </row>
    <row r="220" spans="9:14" ht="42" customHeight="1" x14ac:dyDescent="0.15">
      <c r="I220" s="9"/>
      <c r="N220" s="17"/>
    </row>
    <row r="221" spans="9:14" ht="42" customHeight="1" x14ac:dyDescent="0.15">
      <c r="I221" s="9"/>
      <c r="N221" s="17"/>
    </row>
    <row r="222" spans="9:14" ht="42" customHeight="1" x14ac:dyDescent="0.15">
      <c r="I222" s="9"/>
      <c r="N222" s="17"/>
    </row>
    <row r="223" spans="9:14" ht="42" customHeight="1" x14ac:dyDescent="0.15">
      <c r="I223" s="9"/>
      <c r="N223" s="17"/>
    </row>
    <row r="224" spans="9:14" ht="42" customHeight="1" x14ac:dyDescent="0.15">
      <c r="I224" s="9"/>
      <c r="N224" s="17"/>
    </row>
    <row r="225" spans="9:14" ht="42" customHeight="1" x14ac:dyDescent="0.15">
      <c r="I225" s="9"/>
      <c r="N225" s="17"/>
    </row>
    <row r="226" spans="9:14" ht="42" customHeight="1" x14ac:dyDescent="0.15">
      <c r="I226" s="9"/>
      <c r="N226" s="17"/>
    </row>
    <row r="227" spans="9:14" ht="42" customHeight="1" x14ac:dyDescent="0.15">
      <c r="I227" s="9"/>
      <c r="N227" s="17"/>
    </row>
    <row r="228" spans="9:14" ht="42" customHeight="1" x14ac:dyDescent="0.15">
      <c r="I228" s="9"/>
      <c r="N228" s="17"/>
    </row>
    <row r="229" spans="9:14" ht="42" customHeight="1" x14ac:dyDescent="0.15">
      <c r="I229" s="9"/>
      <c r="N229" s="17"/>
    </row>
    <row r="230" spans="9:14" ht="42" customHeight="1" x14ac:dyDescent="0.15">
      <c r="I230" s="9"/>
      <c r="N230" s="17"/>
    </row>
    <row r="231" spans="9:14" ht="42" customHeight="1" x14ac:dyDescent="0.15">
      <c r="I231" s="9"/>
      <c r="N231" s="17"/>
    </row>
    <row r="232" spans="9:14" ht="42" customHeight="1" x14ac:dyDescent="0.15">
      <c r="I232" s="9"/>
      <c r="N232" s="17"/>
    </row>
    <row r="233" spans="9:14" ht="42" customHeight="1" x14ac:dyDescent="0.15">
      <c r="I233" s="9"/>
      <c r="N233" s="17"/>
    </row>
    <row r="234" spans="9:14" ht="42" customHeight="1" x14ac:dyDescent="0.15">
      <c r="I234" s="9"/>
      <c r="N234" s="17"/>
    </row>
    <row r="235" spans="9:14" ht="42" customHeight="1" x14ac:dyDescent="0.15">
      <c r="I235" s="9"/>
      <c r="N235" s="17"/>
    </row>
    <row r="236" spans="9:14" ht="42" customHeight="1" x14ac:dyDescent="0.15">
      <c r="I236" s="9"/>
      <c r="N236" s="17"/>
    </row>
    <row r="237" spans="9:14" ht="42" customHeight="1" x14ac:dyDescent="0.15">
      <c r="I237" s="9"/>
      <c r="N237" s="17"/>
    </row>
    <row r="238" spans="9:14" ht="42" customHeight="1" x14ac:dyDescent="0.15">
      <c r="I238" s="9"/>
      <c r="N238" s="17"/>
    </row>
    <row r="239" spans="9:14" ht="42" customHeight="1" x14ac:dyDescent="0.15">
      <c r="I239" s="9"/>
      <c r="N239" s="17"/>
    </row>
    <row r="240" spans="9:14" ht="42" customHeight="1" x14ac:dyDescent="0.15">
      <c r="I240" s="9"/>
      <c r="N240" s="17"/>
    </row>
    <row r="241" spans="9:14" ht="42" customHeight="1" x14ac:dyDescent="0.15">
      <c r="I241" s="9"/>
      <c r="N241" s="17"/>
    </row>
    <row r="242" spans="9:14" ht="42" customHeight="1" x14ac:dyDescent="0.15">
      <c r="N242" s="17"/>
    </row>
    <row r="243" spans="9:14" ht="42" customHeight="1" x14ac:dyDescent="0.15">
      <c r="N243" s="17"/>
    </row>
    <row r="244" spans="9:14" ht="42" customHeight="1" x14ac:dyDescent="0.15">
      <c r="N244" s="17"/>
    </row>
    <row r="245" spans="9:14" ht="42" customHeight="1" x14ac:dyDescent="0.15">
      <c r="N245" s="17"/>
    </row>
    <row r="246" spans="9:14" ht="42" customHeight="1" x14ac:dyDescent="0.15">
      <c r="N246" s="17"/>
    </row>
    <row r="247" spans="9:14" ht="42" customHeight="1" x14ac:dyDescent="0.15">
      <c r="N247" s="17"/>
    </row>
    <row r="248" spans="9:14" ht="42" customHeight="1" x14ac:dyDescent="0.15">
      <c r="N248" s="17"/>
    </row>
    <row r="249" spans="9:14" ht="42" customHeight="1" x14ac:dyDescent="0.15">
      <c r="N249" s="17"/>
    </row>
  </sheetData>
  <mergeCells count="40">
    <mergeCell ref="A88:O88"/>
    <mergeCell ref="A3:O3"/>
    <mergeCell ref="A6:O6"/>
    <mergeCell ref="A15:O15"/>
    <mergeCell ref="G14:H14"/>
    <mergeCell ref="K14:L14"/>
    <mergeCell ref="A43:O43"/>
    <mergeCell ref="G42:H42"/>
    <mergeCell ref="K42:L42"/>
    <mergeCell ref="G87:H87"/>
    <mergeCell ref="K87:L87"/>
    <mergeCell ref="A27:O27"/>
    <mergeCell ref="G26:H26"/>
    <mergeCell ref="K26:L26"/>
    <mergeCell ref="A2:E2"/>
    <mergeCell ref="F2:K2"/>
    <mergeCell ref="L2:O2"/>
    <mergeCell ref="A68:O68"/>
    <mergeCell ref="K67:L67"/>
    <mergeCell ref="G58:H58"/>
    <mergeCell ref="K58:L58"/>
    <mergeCell ref="G48:H48"/>
    <mergeCell ref="A59:O59"/>
    <mergeCell ref="G67:H67"/>
    <mergeCell ref="K48:L48"/>
    <mergeCell ref="A49:O49"/>
    <mergeCell ref="A128:O128"/>
    <mergeCell ref="G127:H127"/>
    <mergeCell ref="K127:L127"/>
    <mergeCell ref="A98:O98"/>
    <mergeCell ref="G97:H97"/>
    <mergeCell ref="K97:L97"/>
    <mergeCell ref="A123:O123"/>
    <mergeCell ref="G122:H122"/>
    <mergeCell ref="K122:L122"/>
    <mergeCell ref="G148:H148"/>
    <mergeCell ref="K148:L148"/>
    <mergeCell ref="G135:H135"/>
    <mergeCell ref="K135:L135"/>
    <mergeCell ref="A136:O136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2025-04-14T05:43:33Z</dcterms:created>
  <dcterms:modified xsi:type="dcterms:W3CDTF">2026-04-10T08:20:28Z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48330F7E73E142F98FCF7F5EE240BBEB_11</vt:lpwstr>
  </property>
  <property fmtid="{D5CDD505-2E9C-101B-9397-08002B2CF9AE}" pid="3" name="KSOProductBuildVer">
    <vt:lpwstr>2052-12.1.0.20784</vt:lpwstr>
  </property>
</Properties>
</file>